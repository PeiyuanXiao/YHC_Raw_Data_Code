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个人文章原始数据\2025-AMH culture at Yahuai Cave\YHC_Raw_Data_Code\Knapped_Stone_Data_Rcode\"/>
    </mc:Choice>
  </mc:AlternateContent>
  <xr:revisionPtr revIDLastSave="0" documentId="13_ncr:1_{C137DEF2-9015-41C4-B056-340A9DC408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es" sheetId="1" r:id="rId1"/>
    <sheet name="Complete flakes" sheetId="2" r:id="rId2"/>
    <sheet name="Incomplete flakes" sheetId="3" r:id="rId3"/>
    <sheet name="Flake fragments" sheetId="4" r:id="rId4"/>
    <sheet name="Split flakes" sheetId="5" r:id="rId5"/>
    <sheet name="Tools" sheetId="6" r:id="rId6"/>
    <sheet name="Hamerstones" sheetId="7" r:id="rId7"/>
    <sheet name="Waste produc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" l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AI21" i="6"/>
  <c r="AG21" i="6"/>
  <c r="AF21" i="6"/>
  <c r="AB21" i="6"/>
  <c r="X21" i="6"/>
  <c r="T21" i="6"/>
  <c r="AI20" i="6"/>
  <c r="AG20" i="6"/>
  <c r="AF20" i="6"/>
  <c r="AB20" i="6"/>
  <c r="X20" i="6"/>
  <c r="T20" i="6"/>
  <c r="T19" i="6"/>
  <c r="AI18" i="6"/>
  <c r="AG18" i="6"/>
  <c r="AF18" i="6"/>
  <c r="AB18" i="6"/>
  <c r="X18" i="6"/>
  <c r="T18" i="6"/>
  <c r="AF17" i="6"/>
  <c r="AI17" i="6" s="1"/>
  <c r="AB17" i="6"/>
  <c r="X17" i="6"/>
  <c r="T17" i="6"/>
  <c r="AH16" i="6"/>
  <c r="AG16" i="6"/>
  <c r="AF16" i="6"/>
  <c r="AI16" i="6" s="1"/>
  <c r="AB16" i="6"/>
  <c r="X16" i="6"/>
  <c r="T16" i="6"/>
  <c r="AF15" i="6"/>
  <c r="AI15" i="6" s="1"/>
  <c r="AB15" i="6"/>
  <c r="X15" i="6"/>
  <c r="T15" i="6"/>
  <c r="AF14" i="6"/>
  <c r="AI14" i="6" s="1"/>
  <c r="AB14" i="6"/>
  <c r="X14" i="6"/>
  <c r="T14" i="6"/>
  <c r="AF13" i="6"/>
  <c r="AI13" i="6" s="1"/>
  <c r="AB13" i="6"/>
  <c r="X13" i="6"/>
  <c r="T13" i="6"/>
  <c r="AI12" i="6"/>
  <c r="AG12" i="6"/>
  <c r="AF12" i="6"/>
  <c r="AB12" i="6"/>
  <c r="X12" i="6"/>
  <c r="T12" i="6"/>
  <c r="AI11" i="6"/>
  <c r="AF11" i="6"/>
  <c r="AB11" i="6"/>
  <c r="X11" i="6"/>
  <c r="T11" i="6"/>
  <c r="AG10" i="6"/>
  <c r="AF10" i="6"/>
  <c r="AI10" i="6" s="1"/>
  <c r="AB10" i="6"/>
  <c r="X10" i="6"/>
  <c r="T10" i="6"/>
  <c r="AF9" i="6"/>
  <c r="AI9" i="6" s="1"/>
  <c r="AB9" i="6"/>
  <c r="X9" i="6"/>
  <c r="T9" i="6"/>
  <c r="AI7" i="6"/>
  <c r="AF7" i="6"/>
  <c r="AB7" i="6"/>
  <c r="X7" i="6"/>
  <c r="T7" i="6"/>
  <c r="AF6" i="6"/>
  <c r="AI6" i="6" s="1"/>
  <c r="AB6" i="6"/>
  <c r="X6" i="6"/>
  <c r="T6" i="6"/>
  <c r="AI5" i="6"/>
  <c r="AF5" i="6"/>
  <c r="AB5" i="6"/>
  <c r="X5" i="6"/>
  <c r="T5" i="6"/>
  <c r="AF4" i="6"/>
  <c r="AI4" i="6" s="1"/>
  <c r="AB4" i="6"/>
  <c r="X4" i="6"/>
  <c r="T4" i="6"/>
  <c r="AF3" i="6"/>
  <c r="AI3" i="6" s="1"/>
  <c r="AB3" i="6"/>
  <c r="X3" i="6"/>
  <c r="T3" i="6"/>
  <c r="AF2" i="6"/>
  <c r="AI2" i="6" s="1"/>
  <c r="AB2" i="6"/>
  <c r="X2" i="6"/>
  <c r="T2" i="6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N3" i="2"/>
  <c r="M3" i="2"/>
  <c r="L3" i="2"/>
  <c r="N2" i="2"/>
  <c r="M2" i="2"/>
  <c r="L2" i="2"/>
</calcChain>
</file>

<file path=xl/sharedStrings.xml><?xml version="1.0" encoding="utf-8"?>
<sst xmlns="http://schemas.openxmlformats.org/spreadsheetml/2006/main" count="1055" uniqueCount="209">
  <si>
    <t>Cultural phase</t>
    <phoneticPr fontId="1" type="noConversion"/>
  </si>
  <si>
    <t>Excavation area</t>
  </si>
  <si>
    <t>Layer</t>
  </si>
  <si>
    <t>No.</t>
    <phoneticPr fontId="1" type="noConversion"/>
  </si>
  <si>
    <t>Type</t>
  </si>
  <si>
    <t>Technique</t>
  </si>
  <si>
    <t>Raw material</t>
  </si>
  <si>
    <t>L</t>
  </si>
  <si>
    <t>B</t>
  </si>
  <si>
    <t>Th</t>
  </si>
  <si>
    <t>W</t>
  </si>
  <si>
    <t>Cortex</t>
    <phoneticPr fontId="1" type="noConversion"/>
  </si>
  <si>
    <t>Non-Cortex</t>
    <phoneticPr fontId="1" type="noConversion"/>
  </si>
  <si>
    <t>N(Platform number)</t>
    <phoneticPr fontId="1" type="noConversion"/>
  </si>
  <si>
    <t>X̄(Platform angle)</t>
    <phoneticPr fontId="1" type="noConversion"/>
  </si>
  <si>
    <t>N(Scars)</t>
    <phoneticPr fontId="1" type="noConversion"/>
  </si>
  <si>
    <t>N(Stepped scars)</t>
  </si>
  <si>
    <t>N(Flaking faces)</t>
    <phoneticPr fontId="1" type="noConversion"/>
  </si>
  <si>
    <t>Flaking direction</t>
  </si>
  <si>
    <t>de la Torre Typology</t>
    <phoneticPr fontId="1" type="noConversion"/>
  </si>
  <si>
    <t>A</t>
  </si>
  <si>
    <t>T0304-1</t>
  </si>
  <si>
    <t>Core</t>
  </si>
  <si>
    <t>Percussion</t>
  </si>
  <si>
    <t>Sandstone</t>
  </si>
  <si>
    <t>Test core</t>
  </si>
  <si>
    <t>T0303-1</t>
  </si>
  <si>
    <t>Bipolar</t>
  </si>
  <si>
    <t>Quartz</t>
  </si>
  <si>
    <t>Tektite</t>
  </si>
  <si>
    <t>T0303-3</t>
  </si>
  <si>
    <t>Unidirection</t>
  </si>
  <si>
    <t>Unifacial unidirectional exploitation</t>
  </si>
  <si>
    <t>C</t>
  </si>
  <si>
    <t>T0802-1</t>
  </si>
  <si>
    <t>Crystal</t>
  </si>
  <si>
    <t>Cultural phase</t>
  </si>
  <si>
    <t>No.</t>
  </si>
  <si>
    <t>Raw material</t>
    <phoneticPr fontId="1" type="noConversion"/>
  </si>
  <si>
    <t>Elongation Index</t>
    <phoneticPr fontId="1" type="noConversion"/>
  </si>
  <si>
    <t>Narrowness Index</t>
    <phoneticPr fontId="1" type="noConversion"/>
  </si>
  <si>
    <t>Thinness Index</t>
    <phoneticPr fontId="1" type="noConversion"/>
  </si>
  <si>
    <t>Tech-L</t>
    <phoneticPr fontId="1" type="noConversion"/>
  </si>
  <si>
    <t>Tech-W</t>
  </si>
  <si>
    <t>Platform type</t>
    <phoneticPr fontId="1" type="noConversion"/>
  </si>
  <si>
    <t>Platform-L</t>
    <phoneticPr fontId="1" type="noConversion"/>
  </si>
  <si>
    <t>Platform-B</t>
  </si>
  <si>
    <t>Platform-Cortex</t>
  </si>
  <si>
    <t>IPA</t>
  </si>
  <si>
    <t>EPA</t>
  </si>
  <si>
    <t>Termination</t>
  </si>
  <si>
    <t>Dorsal-Cortex</t>
    <phoneticPr fontId="1" type="noConversion"/>
  </si>
  <si>
    <t>Dorsal-Scars</t>
  </si>
  <si>
    <t>Direction of scars</t>
    <phoneticPr fontId="1" type="noConversion"/>
  </si>
  <si>
    <t>T0304-2</t>
  </si>
  <si>
    <t>Complete flake</t>
  </si>
  <si>
    <t>Cortical</t>
  </si>
  <si>
    <t>Step</t>
  </si>
  <si>
    <t>Unidirection-proximal</t>
    <phoneticPr fontId="1" type="noConversion"/>
  </si>
  <si>
    <t>Sandstone</t>
    <phoneticPr fontId="1" type="noConversion"/>
  </si>
  <si>
    <t>Feather</t>
  </si>
  <si>
    <t>Unidirection-proximal</t>
  </si>
  <si>
    <t>T0204-2</t>
  </si>
  <si>
    <t>Overpass</t>
  </si>
  <si>
    <t>Lateral</t>
  </si>
  <si>
    <t>Plain</t>
  </si>
  <si>
    <t>T0304-4</t>
  </si>
  <si>
    <t>Linear</t>
  </si>
  <si>
    <t>Orthogonal</t>
  </si>
  <si>
    <t>T0303-7</t>
  </si>
  <si>
    <t>T0303-6</t>
  </si>
  <si>
    <t>Chert</t>
  </si>
  <si>
    <t>T0303-5</t>
  </si>
  <si>
    <t>T0304-10</t>
  </si>
  <si>
    <t>T0303-9</t>
  </si>
  <si>
    <t>T0304-9</t>
  </si>
  <si>
    <t>Typology</t>
  </si>
  <si>
    <t>Platform type</t>
  </si>
  <si>
    <t>Platform-L</t>
  </si>
  <si>
    <t>T0303-11</t>
  </si>
  <si>
    <t>Incomplete flake</t>
  </si>
  <si>
    <t>Proximal</t>
  </si>
  <si>
    <t>T0802-6</t>
  </si>
  <si>
    <t>T0802-3</t>
  </si>
  <si>
    <t>Incomplete flake</t>
    <phoneticPr fontId="1" type="noConversion"/>
  </si>
  <si>
    <t>T0906-6</t>
  </si>
  <si>
    <t>Punctiform</t>
  </si>
  <si>
    <t>Flake fragment</t>
  </si>
  <si>
    <t>Distal</t>
  </si>
  <si>
    <t>T0304-3</t>
  </si>
  <si>
    <t>T0303-8</t>
  </si>
  <si>
    <t>Medial</t>
  </si>
  <si>
    <t>T0303-10</t>
  </si>
  <si>
    <t>T0203-2</t>
  </si>
  <si>
    <t>T0304-5</t>
  </si>
  <si>
    <t>Flake fragment</t>
    <phoneticPr fontId="1" type="noConversion"/>
  </si>
  <si>
    <t>T1106-27</t>
  </si>
  <si>
    <t>Split flake</t>
  </si>
  <si>
    <t>Right</t>
  </si>
  <si>
    <t>Left</t>
  </si>
  <si>
    <t>H1-5</t>
  </si>
  <si>
    <t>H1-6</t>
  </si>
  <si>
    <t>T0802-5</t>
  </si>
  <si>
    <t>T1007-5</t>
  </si>
  <si>
    <t>T1007-2</t>
  </si>
  <si>
    <t>T1006-2</t>
  </si>
  <si>
    <t>T1106-17</t>
  </si>
  <si>
    <t>T1107-6</t>
  </si>
  <si>
    <t>T1106-28</t>
  </si>
  <si>
    <t>Typology</t>
    <phoneticPr fontId="1" type="noConversion"/>
  </si>
  <si>
    <t>Technique</t>
    <phoneticPr fontId="1" type="noConversion"/>
  </si>
  <si>
    <t>Blank</t>
  </si>
  <si>
    <t>Cortex</t>
  </si>
  <si>
    <t>N(Edge)</t>
    <phoneticPr fontId="1" type="noConversion"/>
  </si>
  <si>
    <t>X̄(Edge angle)</t>
    <phoneticPr fontId="1" type="noConversion"/>
  </si>
  <si>
    <t>Retouch generation-Edge1</t>
  </si>
  <si>
    <t>Retouch generation-Edge2</t>
  </si>
  <si>
    <t>Retouch generation-Edge3</t>
    <phoneticPr fontId="1" type="noConversion"/>
  </si>
  <si>
    <t>Retouch generation</t>
    <phoneticPr fontId="1" type="noConversion"/>
  </si>
  <si>
    <t>N(Scars)-Edge1</t>
  </si>
  <si>
    <t>N(Scars)-Edge2</t>
  </si>
  <si>
    <t>N(Scars)-Edge3</t>
    <phoneticPr fontId="1" type="noConversion"/>
  </si>
  <si>
    <t>Edge length-Edge1</t>
  </si>
  <si>
    <t>Edge length-Edge2</t>
  </si>
  <si>
    <t>Edge length-Edge3</t>
    <phoneticPr fontId="1" type="noConversion"/>
  </si>
  <si>
    <t>Edge length</t>
    <phoneticPr fontId="1" type="noConversion"/>
  </si>
  <si>
    <t>Natrual Cutting Edge length-Edge1</t>
  </si>
  <si>
    <t>Natrual Cutting Edge length-Edge2</t>
  </si>
  <si>
    <t>Natrual Cutting Edge length-Edge3</t>
  </si>
  <si>
    <t>Retouch length Index-Edge1</t>
  </si>
  <si>
    <t>Retouch length Index-Edge2</t>
  </si>
  <si>
    <t>Retouch length Index-Edge3</t>
    <phoneticPr fontId="1" type="noConversion"/>
  </si>
  <si>
    <t>Retouch length Index</t>
    <phoneticPr fontId="1" type="noConversion"/>
  </si>
  <si>
    <t>T0303-4</t>
  </si>
  <si>
    <t>Tool</t>
  </si>
  <si>
    <t>Denticulate</t>
  </si>
  <si>
    <t>Limestone</t>
  </si>
  <si>
    <t>Percussion</t>
    <phoneticPr fontId="1" type="noConversion"/>
  </si>
  <si>
    <t>Flake</t>
  </si>
  <si>
    <t>T0304-7</t>
  </si>
  <si>
    <t>Chunk</t>
  </si>
  <si>
    <t>Scraper</t>
  </si>
  <si>
    <t>H1-2</t>
  </si>
  <si>
    <t>Borer</t>
  </si>
  <si>
    <t>T0802-2</t>
  </si>
  <si>
    <t>T0802-7</t>
  </si>
  <si>
    <t>Bipolar flake</t>
    <phoneticPr fontId="1" type="noConversion"/>
  </si>
  <si>
    <t>T1001-1</t>
  </si>
  <si>
    <t>Backed tool</t>
  </si>
  <si>
    <t>Bipolar flake</t>
  </si>
  <si>
    <t>T0802-4</t>
  </si>
  <si>
    <t>T0901-2</t>
  </si>
  <si>
    <t>T0902-2</t>
  </si>
  <si>
    <t>Notch</t>
  </si>
  <si>
    <t>T0901-1</t>
  </si>
  <si>
    <t>T1006-1</t>
  </si>
  <si>
    <t>T1106-52</t>
  </si>
  <si>
    <t>T1106-24</t>
  </si>
  <si>
    <t>T1106-44</t>
  </si>
  <si>
    <t>Pebble</t>
  </si>
  <si>
    <t>T1006-14</t>
  </si>
  <si>
    <t>T1106-63</t>
  </si>
  <si>
    <t>Hamerstone</t>
  </si>
  <si>
    <t>Cobble</t>
  </si>
  <si>
    <t>T1008-9</t>
  </si>
  <si>
    <t>T1006-10</t>
  </si>
  <si>
    <t>T1107-7</t>
  </si>
  <si>
    <t>T1006-27</t>
  </si>
  <si>
    <t>T1006-7</t>
  </si>
  <si>
    <t>D</t>
  </si>
  <si>
    <t>T0814-5</t>
  </si>
  <si>
    <t>T0813-9</t>
  </si>
  <si>
    <t>T0913-4</t>
  </si>
  <si>
    <t>T1113-5</t>
  </si>
  <si>
    <t>T0814-7</t>
  </si>
  <si>
    <t>T0303-2</t>
  </si>
  <si>
    <t>T0304-6</t>
  </si>
  <si>
    <t>T0204-6</t>
  </si>
  <si>
    <t>H1</t>
  </si>
  <si>
    <t>Debris</t>
    <phoneticPr fontId="1" type="noConversion"/>
  </si>
  <si>
    <t>T0303</t>
  </si>
  <si>
    <t>T1002-1</t>
  </si>
  <si>
    <t>T1106-43</t>
  </si>
  <si>
    <t>T1006-11</t>
  </si>
  <si>
    <t>Convergent</t>
  </si>
  <si>
    <t>Unifacial orthogonal exploitation</t>
  </si>
  <si>
    <t>T1106-19</t>
  </si>
  <si>
    <t>T1006-13</t>
  </si>
  <si>
    <t>T1106-61</t>
  </si>
  <si>
    <t>Multidirection</t>
  </si>
  <si>
    <t>Multifacial exploitation</t>
  </si>
  <si>
    <t>T1106</t>
    <phoneticPr fontId="1" type="noConversion"/>
  </si>
  <si>
    <t>Bidirection</t>
  </si>
  <si>
    <t>T1106-47</t>
  </si>
  <si>
    <t>Bifacial multidirectional exploitation</t>
  </si>
  <si>
    <t>T1006-18</t>
  </si>
  <si>
    <t>T1006-17</t>
  </si>
  <si>
    <t>T1106-49</t>
  </si>
  <si>
    <t>T0913:5</t>
  </si>
  <si>
    <t>Unifacial opposed exploitation</t>
  </si>
  <si>
    <t>T0914:2</t>
  </si>
  <si>
    <t>T0813:1</t>
  </si>
  <si>
    <t>T1014:6</t>
  </si>
  <si>
    <t>T1013:5</t>
  </si>
  <si>
    <t>T1013:1</t>
  </si>
  <si>
    <t>T1013-4</t>
  </si>
  <si>
    <t>T0814-6</t>
  </si>
  <si>
    <t>Bifacial opposed exploitation</t>
  </si>
  <si>
    <t>T0914-3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</si>
</sst>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000_ "/>
    <numFmt numFmtId="178" formatCode="0_ "/>
    <numFmt numFmtId="179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1"/>
      <name val="Malgun Gothic Semilight"/>
      <family val="2"/>
      <charset val="134"/>
    </font>
    <font>
      <sz val="10"/>
      <name val="Malgun Gothic Semi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left"/>
    </xf>
    <xf numFmtId="9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176" fontId="2" fillId="2" borderId="1" xfId="0" applyNumberFormat="1" applyFont="1" applyFill="1" applyBorder="1" applyAlignment="1">
      <alignment vertical="center" wrapText="1"/>
    </xf>
    <xf numFmtId="176" fontId="5" fillId="0" borderId="0" xfId="0" applyNumberFormat="1" applyFont="1" applyAlignment="1">
      <alignment horizontal="left"/>
    </xf>
    <xf numFmtId="177" fontId="5" fillId="0" borderId="0" xfId="0" applyNumberFormat="1" applyFont="1" applyAlignment="1">
      <alignment horizontal="left"/>
    </xf>
    <xf numFmtId="178" fontId="2" fillId="0" borderId="0" xfId="0" applyNumberFormat="1" applyFont="1" applyAlignment="1">
      <alignment horizontal="left"/>
    </xf>
    <xf numFmtId="178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G12" sqref="G12"/>
    </sheetView>
  </sheetViews>
  <sheetFormatPr defaultRowHeight="14.25" x14ac:dyDescent="0.2"/>
  <sheetData>
    <row r="1" spans="1:20" s="3" customFormat="1" ht="20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6" customFormat="1" ht="13.5" x14ac:dyDescent="0.25">
      <c r="A2" s="4">
        <v>1</v>
      </c>
      <c r="B2" s="5" t="s">
        <v>8</v>
      </c>
      <c r="C2" s="6">
        <v>20</v>
      </c>
      <c r="D2" s="6" t="s">
        <v>182</v>
      </c>
      <c r="E2" s="7" t="s">
        <v>22</v>
      </c>
      <c r="F2" s="6" t="s">
        <v>23</v>
      </c>
      <c r="G2" s="6" t="s">
        <v>24</v>
      </c>
      <c r="H2" s="6">
        <v>67</v>
      </c>
      <c r="I2" s="6">
        <v>62</v>
      </c>
      <c r="J2" s="6">
        <v>33</v>
      </c>
      <c r="K2" s="6">
        <v>144</v>
      </c>
      <c r="L2" s="8">
        <v>0.25</v>
      </c>
      <c r="M2" s="9">
        <f t="shared" ref="M2:M21" si="0">1-L2</f>
        <v>0.75</v>
      </c>
      <c r="N2" s="10">
        <v>1</v>
      </c>
      <c r="O2" s="6">
        <v>65</v>
      </c>
      <c r="P2" s="6">
        <v>3</v>
      </c>
      <c r="Q2" s="6">
        <v>1</v>
      </c>
      <c r="R2" s="6">
        <v>1</v>
      </c>
      <c r="S2" s="6" t="s">
        <v>31</v>
      </c>
      <c r="T2" s="6" t="s">
        <v>32</v>
      </c>
    </row>
    <row r="3" spans="1:20" s="6" customFormat="1" ht="13.5" x14ac:dyDescent="0.25">
      <c r="A3" s="4">
        <v>1</v>
      </c>
      <c r="B3" s="5" t="s">
        <v>8</v>
      </c>
      <c r="C3" s="6">
        <v>20</v>
      </c>
      <c r="D3" s="6" t="s">
        <v>183</v>
      </c>
      <c r="E3" s="7" t="s">
        <v>22</v>
      </c>
      <c r="F3" s="6" t="s">
        <v>23</v>
      </c>
      <c r="G3" s="6" t="s">
        <v>24</v>
      </c>
      <c r="H3" s="6">
        <v>70</v>
      </c>
      <c r="I3" s="6">
        <v>52</v>
      </c>
      <c r="J3" s="6">
        <v>43</v>
      </c>
      <c r="K3" s="6">
        <v>164.5</v>
      </c>
      <c r="L3" s="8">
        <v>0.5</v>
      </c>
      <c r="M3" s="9">
        <f t="shared" si="0"/>
        <v>0.5</v>
      </c>
      <c r="N3" s="10">
        <v>2</v>
      </c>
      <c r="O3" s="6">
        <v>78.5</v>
      </c>
      <c r="P3" s="6">
        <v>7</v>
      </c>
      <c r="Q3" s="6">
        <v>3</v>
      </c>
      <c r="R3" s="6">
        <v>1</v>
      </c>
      <c r="S3" s="6" t="s">
        <v>184</v>
      </c>
      <c r="T3" s="6" t="s">
        <v>185</v>
      </c>
    </row>
    <row r="4" spans="1:20" s="6" customFormat="1" ht="13.5" x14ac:dyDescent="0.25">
      <c r="A4" s="4">
        <v>1</v>
      </c>
      <c r="B4" s="5" t="s">
        <v>8</v>
      </c>
      <c r="C4" s="6">
        <v>20</v>
      </c>
      <c r="D4" s="6" t="s">
        <v>186</v>
      </c>
      <c r="E4" s="7" t="s">
        <v>22</v>
      </c>
      <c r="F4" s="6" t="s">
        <v>23</v>
      </c>
      <c r="G4" s="6" t="s">
        <v>24</v>
      </c>
      <c r="H4" s="6">
        <v>59</v>
      </c>
      <c r="I4" s="6">
        <v>53</v>
      </c>
      <c r="J4" s="6">
        <v>28</v>
      </c>
      <c r="K4" s="6">
        <v>187</v>
      </c>
      <c r="L4" s="8">
        <v>0.8</v>
      </c>
      <c r="M4" s="9">
        <f t="shared" si="0"/>
        <v>0.19999999999999996</v>
      </c>
      <c r="N4" s="10">
        <v>1</v>
      </c>
      <c r="O4" s="6">
        <v>95</v>
      </c>
      <c r="P4" s="6">
        <v>6</v>
      </c>
      <c r="Q4" s="6">
        <v>0</v>
      </c>
      <c r="R4" s="6">
        <v>1</v>
      </c>
      <c r="S4" s="6" t="s">
        <v>31</v>
      </c>
      <c r="T4" s="6" t="s">
        <v>32</v>
      </c>
    </row>
    <row r="5" spans="1:20" s="6" customFormat="1" ht="13.5" x14ac:dyDescent="0.25">
      <c r="A5" s="4">
        <v>1</v>
      </c>
      <c r="B5" s="5" t="s">
        <v>8</v>
      </c>
      <c r="C5" s="6">
        <v>20</v>
      </c>
      <c r="D5" s="6" t="s">
        <v>187</v>
      </c>
      <c r="E5" s="7" t="s">
        <v>22</v>
      </c>
      <c r="F5" s="6" t="s">
        <v>23</v>
      </c>
      <c r="G5" s="6" t="s">
        <v>24</v>
      </c>
      <c r="H5" s="6">
        <v>75</v>
      </c>
      <c r="I5" s="6">
        <v>67</v>
      </c>
      <c r="J5" s="6">
        <v>50</v>
      </c>
      <c r="K5" s="6">
        <v>242.5</v>
      </c>
      <c r="L5" s="8">
        <v>0.7</v>
      </c>
      <c r="M5" s="9">
        <f t="shared" si="0"/>
        <v>0.30000000000000004</v>
      </c>
      <c r="N5" s="10">
        <v>1</v>
      </c>
      <c r="O5" s="6">
        <v>91</v>
      </c>
      <c r="P5" s="6">
        <v>13</v>
      </c>
      <c r="Q5" s="6">
        <v>8</v>
      </c>
      <c r="R5" s="6">
        <v>1</v>
      </c>
      <c r="S5" s="6" t="s">
        <v>31</v>
      </c>
      <c r="T5" s="6" t="s">
        <v>32</v>
      </c>
    </row>
    <row r="6" spans="1:20" s="6" customFormat="1" ht="13.5" x14ac:dyDescent="0.25">
      <c r="A6" s="4">
        <v>1</v>
      </c>
      <c r="B6" s="5" t="s">
        <v>8</v>
      </c>
      <c r="C6" s="6">
        <v>20</v>
      </c>
      <c r="D6" s="6" t="s">
        <v>188</v>
      </c>
      <c r="E6" s="7" t="s">
        <v>22</v>
      </c>
      <c r="F6" s="6" t="s">
        <v>23</v>
      </c>
      <c r="G6" s="6" t="s">
        <v>24</v>
      </c>
      <c r="H6" s="6">
        <v>57</v>
      </c>
      <c r="I6" s="6">
        <v>51</v>
      </c>
      <c r="J6" s="6">
        <v>31</v>
      </c>
      <c r="K6" s="6">
        <v>93.5</v>
      </c>
      <c r="L6" s="8">
        <v>0.3</v>
      </c>
      <c r="M6" s="9">
        <f t="shared" si="0"/>
        <v>0.7</v>
      </c>
      <c r="N6" s="10">
        <v>3</v>
      </c>
      <c r="O6" s="6">
        <v>88</v>
      </c>
      <c r="P6" s="6">
        <v>17</v>
      </c>
      <c r="Q6" s="6">
        <v>5</v>
      </c>
      <c r="R6" s="6">
        <v>5</v>
      </c>
      <c r="S6" s="6" t="s">
        <v>189</v>
      </c>
      <c r="T6" s="6" t="s">
        <v>190</v>
      </c>
    </row>
    <row r="7" spans="1:20" s="6" customFormat="1" ht="13.5" x14ac:dyDescent="0.25">
      <c r="A7" s="4">
        <v>1</v>
      </c>
      <c r="B7" s="5" t="s">
        <v>8</v>
      </c>
      <c r="C7" s="6">
        <v>20</v>
      </c>
      <c r="D7" s="6" t="s">
        <v>191</v>
      </c>
      <c r="E7" s="7" t="s">
        <v>22</v>
      </c>
      <c r="F7" s="6" t="s">
        <v>23</v>
      </c>
      <c r="G7" s="6" t="s">
        <v>24</v>
      </c>
      <c r="H7" s="6">
        <v>69</v>
      </c>
      <c r="I7" s="6">
        <v>61</v>
      </c>
      <c r="J7" s="6">
        <v>38</v>
      </c>
      <c r="K7" s="6">
        <v>154</v>
      </c>
      <c r="L7" s="8">
        <v>0.5</v>
      </c>
      <c r="M7" s="9">
        <f t="shared" si="0"/>
        <v>0.5</v>
      </c>
      <c r="N7" s="10">
        <v>2</v>
      </c>
      <c r="O7" s="6">
        <v>80</v>
      </c>
      <c r="P7" s="6">
        <v>13</v>
      </c>
      <c r="Q7" s="6">
        <v>2</v>
      </c>
      <c r="R7" s="6">
        <v>3</v>
      </c>
      <c r="S7" s="6" t="s">
        <v>192</v>
      </c>
      <c r="T7" s="6" t="s">
        <v>190</v>
      </c>
    </row>
    <row r="8" spans="1:20" s="6" customFormat="1" ht="13.5" x14ac:dyDescent="0.25">
      <c r="A8" s="4">
        <v>1</v>
      </c>
      <c r="B8" s="5" t="s">
        <v>8</v>
      </c>
      <c r="C8" s="6">
        <v>20</v>
      </c>
      <c r="D8" s="6" t="s">
        <v>193</v>
      </c>
      <c r="E8" s="7" t="s">
        <v>22</v>
      </c>
      <c r="F8" s="6" t="s">
        <v>23</v>
      </c>
      <c r="G8" s="6" t="s">
        <v>24</v>
      </c>
      <c r="H8" s="6">
        <v>62</v>
      </c>
      <c r="I8" s="6">
        <v>56</v>
      </c>
      <c r="J8" s="6">
        <v>30</v>
      </c>
      <c r="K8" s="6">
        <v>108.5</v>
      </c>
      <c r="L8" s="8">
        <v>0.4</v>
      </c>
      <c r="M8" s="9">
        <f t="shared" si="0"/>
        <v>0.6</v>
      </c>
      <c r="N8" s="10">
        <v>3</v>
      </c>
      <c r="O8" s="6">
        <v>75</v>
      </c>
      <c r="P8" s="6">
        <v>13</v>
      </c>
      <c r="Q8" s="6">
        <v>1</v>
      </c>
      <c r="R8" s="6">
        <v>2</v>
      </c>
      <c r="S8" s="6" t="s">
        <v>189</v>
      </c>
      <c r="T8" s="6" t="s">
        <v>194</v>
      </c>
    </row>
    <row r="9" spans="1:20" s="6" customFormat="1" ht="13.5" x14ac:dyDescent="0.25">
      <c r="A9" s="4">
        <v>1</v>
      </c>
      <c r="B9" s="5" t="s">
        <v>8</v>
      </c>
      <c r="C9" s="6">
        <v>20</v>
      </c>
      <c r="D9" s="6" t="s">
        <v>195</v>
      </c>
      <c r="E9" s="7" t="s">
        <v>22</v>
      </c>
      <c r="F9" s="6" t="s">
        <v>23</v>
      </c>
      <c r="G9" s="6" t="s">
        <v>24</v>
      </c>
      <c r="H9" s="6">
        <v>77</v>
      </c>
      <c r="I9" s="6">
        <v>60</v>
      </c>
      <c r="J9" s="6">
        <v>27</v>
      </c>
      <c r="K9" s="6">
        <v>132.5</v>
      </c>
      <c r="L9" s="8">
        <v>0.25</v>
      </c>
      <c r="M9" s="9">
        <f t="shared" si="0"/>
        <v>0.75</v>
      </c>
      <c r="N9" s="10">
        <v>1</v>
      </c>
      <c r="O9" s="6">
        <v>68</v>
      </c>
      <c r="P9" s="6">
        <v>6</v>
      </c>
      <c r="Q9" s="6">
        <v>0</v>
      </c>
      <c r="R9" s="6">
        <v>1</v>
      </c>
      <c r="S9" s="6" t="s">
        <v>31</v>
      </c>
      <c r="T9" s="6" t="s">
        <v>32</v>
      </c>
    </row>
    <row r="10" spans="1:20" s="6" customFormat="1" ht="13.5" x14ac:dyDescent="0.25">
      <c r="A10" s="4">
        <v>1</v>
      </c>
      <c r="B10" s="5" t="s">
        <v>8</v>
      </c>
      <c r="C10" s="6">
        <v>20</v>
      </c>
      <c r="D10" s="6" t="s">
        <v>196</v>
      </c>
      <c r="E10" s="7" t="s">
        <v>22</v>
      </c>
      <c r="F10" s="6" t="s">
        <v>23</v>
      </c>
      <c r="G10" s="6" t="s">
        <v>71</v>
      </c>
      <c r="H10" s="6">
        <v>56</v>
      </c>
      <c r="I10" s="6">
        <v>45</v>
      </c>
      <c r="J10" s="6">
        <v>34</v>
      </c>
      <c r="K10" s="6">
        <v>78.5</v>
      </c>
      <c r="L10" s="8">
        <v>0.5</v>
      </c>
      <c r="M10" s="9">
        <f t="shared" si="0"/>
        <v>0.5</v>
      </c>
      <c r="N10" s="10">
        <v>3</v>
      </c>
      <c r="O10" s="6">
        <v>81</v>
      </c>
      <c r="P10" s="6">
        <v>10</v>
      </c>
      <c r="Q10" s="6">
        <v>0</v>
      </c>
      <c r="R10" s="6">
        <v>3</v>
      </c>
      <c r="S10" s="6" t="s">
        <v>192</v>
      </c>
      <c r="T10" s="6" t="s">
        <v>190</v>
      </c>
    </row>
    <row r="11" spans="1:20" s="6" customFormat="1" ht="13.5" x14ac:dyDescent="0.25">
      <c r="A11" s="4">
        <v>1</v>
      </c>
      <c r="B11" s="5" t="s">
        <v>8</v>
      </c>
      <c r="C11" s="6">
        <v>20</v>
      </c>
      <c r="D11" s="6" t="s">
        <v>197</v>
      </c>
      <c r="E11" s="7" t="s">
        <v>22</v>
      </c>
      <c r="F11" s="6" t="s">
        <v>23</v>
      </c>
      <c r="G11" s="6" t="s">
        <v>29</v>
      </c>
      <c r="H11" s="6">
        <v>29</v>
      </c>
      <c r="I11" s="6">
        <v>24</v>
      </c>
      <c r="J11" s="6">
        <v>20</v>
      </c>
      <c r="K11" s="6">
        <v>13.5</v>
      </c>
      <c r="L11" s="8">
        <v>0.2</v>
      </c>
      <c r="M11" s="9">
        <f t="shared" si="0"/>
        <v>0.8</v>
      </c>
      <c r="N11" s="10">
        <v>2</v>
      </c>
      <c r="O11" s="6">
        <v>85</v>
      </c>
      <c r="P11" s="6">
        <v>13</v>
      </c>
      <c r="Q11" s="6">
        <v>0</v>
      </c>
      <c r="R11" s="6">
        <v>3</v>
      </c>
      <c r="S11" s="6" t="s">
        <v>189</v>
      </c>
      <c r="T11" s="6" t="s">
        <v>190</v>
      </c>
    </row>
    <row r="12" spans="1:20" s="6" customFormat="1" ht="13.5" x14ac:dyDescent="0.25">
      <c r="A12" s="6">
        <v>2</v>
      </c>
      <c r="B12" s="5" t="s">
        <v>169</v>
      </c>
      <c r="C12" s="6">
        <v>9</v>
      </c>
      <c r="D12" s="6" t="s">
        <v>198</v>
      </c>
      <c r="E12" s="7" t="s">
        <v>22</v>
      </c>
      <c r="F12" s="6" t="s">
        <v>23</v>
      </c>
      <c r="G12" s="6" t="s">
        <v>24</v>
      </c>
      <c r="H12" s="6">
        <v>35.5</v>
      </c>
      <c r="I12" s="6">
        <v>23.4</v>
      </c>
      <c r="J12" s="6">
        <v>16.100000000000001</v>
      </c>
      <c r="K12" s="6">
        <v>7.72</v>
      </c>
      <c r="L12" s="8">
        <v>0.4</v>
      </c>
      <c r="M12" s="9">
        <f t="shared" si="0"/>
        <v>0.6</v>
      </c>
      <c r="N12" s="10">
        <v>1</v>
      </c>
      <c r="O12" s="6">
        <v>78</v>
      </c>
      <c r="P12" s="6">
        <v>1</v>
      </c>
      <c r="Q12" s="6">
        <v>0</v>
      </c>
      <c r="R12" s="6">
        <v>1</v>
      </c>
      <c r="S12" s="6" t="s">
        <v>192</v>
      </c>
      <c r="T12" s="6" t="s">
        <v>199</v>
      </c>
    </row>
    <row r="13" spans="1:20" s="6" customFormat="1" ht="13.5" x14ac:dyDescent="0.25">
      <c r="A13" s="6">
        <v>2</v>
      </c>
      <c r="B13" s="5" t="s">
        <v>169</v>
      </c>
      <c r="C13" s="6">
        <v>9</v>
      </c>
      <c r="D13" s="6" t="s">
        <v>200</v>
      </c>
      <c r="E13" s="7" t="s">
        <v>22</v>
      </c>
      <c r="F13" s="6" t="s">
        <v>23</v>
      </c>
      <c r="G13" s="6" t="s">
        <v>24</v>
      </c>
      <c r="H13" s="6">
        <v>38.200000000000003</v>
      </c>
      <c r="I13" s="6">
        <v>22.4</v>
      </c>
      <c r="J13" s="6">
        <v>10</v>
      </c>
      <c r="K13" s="6">
        <v>10.130000000000001</v>
      </c>
      <c r="L13" s="8">
        <v>0</v>
      </c>
      <c r="M13" s="9">
        <f t="shared" si="0"/>
        <v>1</v>
      </c>
      <c r="N13" s="10">
        <v>1</v>
      </c>
      <c r="O13" s="6">
        <v>60</v>
      </c>
      <c r="P13" s="6">
        <v>3</v>
      </c>
      <c r="Q13" s="6">
        <v>0</v>
      </c>
      <c r="R13" s="6">
        <v>2</v>
      </c>
      <c r="S13" s="6" t="s">
        <v>192</v>
      </c>
      <c r="T13" s="6" t="s">
        <v>199</v>
      </c>
    </row>
    <row r="14" spans="1:20" s="6" customFormat="1" ht="13.5" x14ac:dyDescent="0.25">
      <c r="A14" s="6">
        <v>2</v>
      </c>
      <c r="B14" s="5" t="s">
        <v>169</v>
      </c>
      <c r="C14" s="6">
        <v>9</v>
      </c>
      <c r="D14" s="6" t="s">
        <v>201</v>
      </c>
      <c r="E14" s="7" t="s">
        <v>22</v>
      </c>
      <c r="F14" s="6" t="s">
        <v>23</v>
      </c>
      <c r="G14" s="6" t="s">
        <v>24</v>
      </c>
      <c r="H14" s="6">
        <v>62.5</v>
      </c>
      <c r="I14" s="6">
        <v>57</v>
      </c>
      <c r="J14" s="6">
        <v>25.2</v>
      </c>
      <c r="K14" s="6">
        <v>90.96</v>
      </c>
      <c r="L14" s="8">
        <v>0.55000000000000004</v>
      </c>
      <c r="M14" s="9">
        <f t="shared" si="0"/>
        <v>0.44999999999999996</v>
      </c>
      <c r="N14" s="10">
        <v>1</v>
      </c>
      <c r="O14" s="6">
        <v>70</v>
      </c>
      <c r="P14" s="6">
        <v>4</v>
      </c>
      <c r="Q14" s="6">
        <v>0</v>
      </c>
      <c r="R14" s="6">
        <v>1</v>
      </c>
      <c r="S14" s="6" t="s">
        <v>192</v>
      </c>
      <c r="T14" s="6" t="s">
        <v>199</v>
      </c>
    </row>
    <row r="15" spans="1:20" s="6" customFormat="1" ht="13.5" x14ac:dyDescent="0.25">
      <c r="A15" s="6">
        <v>2</v>
      </c>
      <c r="B15" s="5" t="s">
        <v>169</v>
      </c>
      <c r="C15" s="6">
        <v>9</v>
      </c>
      <c r="D15" s="6" t="s">
        <v>202</v>
      </c>
      <c r="E15" s="7" t="s">
        <v>22</v>
      </c>
      <c r="F15" s="6" t="s">
        <v>23</v>
      </c>
      <c r="G15" s="6" t="s">
        <v>24</v>
      </c>
      <c r="H15" s="6">
        <v>60.1</v>
      </c>
      <c r="I15" s="6">
        <v>50</v>
      </c>
      <c r="J15" s="6">
        <v>32</v>
      </c>
      <c r="K15" s="6">
        <v>89.73</v>
      </c>
      <c r="L15" s="8">
        <v>0.5</v>
      </c>
      <c r="M15" s="9">
        <f t="shared" si="0"/>
        <v>0.5</v>
      </c>
      <c r="N15" s="10">
        <v>1</v>
      </c>
      <c r="O15" s="6">
        <v>70</v>
      </c>
      <c r="P15" s="6">
        <v>4</v>
      </c>
      <c r="Q15" s="6">
        <v>1</v>
      </c>
      <c r="R15" s="6">
        <v>1</v>
      </c>
      <c r="S15" s="6" t="s">
        <v>31</v>
      </c>
      <c r="T15" s="6" t="s">
        <v>32</v>
      </c>
    </row>
    <row r="16" spans="1:20" s="6" customFormat="1" ht="13.5" x14ac:dyDescent="0.25">
      <c r="A16" s="6">
        <v>2</v>
      </c>
      <c r="B16" s="5" t="s">
        <v>169</v>
      </c>
      <c r="C16" s="6">
        <v>9</v>
      </c>
      <c r="D16" s="6" t="s">
        <v>203</v>
      </c>
      <c r="E16" s="7" t="s">
        <v>22</v>
      </c>
      <c r="F16" s="6" t="s">
        <v>23</v>
      </c>
      <c r="G16" s="6" t="s">
        <v>28</v>
      </c>
      <c r="H16" s="6">
        <v>53</v>
      </c>
      <c r="I16" s="6">
        <v>37</v>
      </c>
      <c r="J16" s="6">
        <v>15</v>
      </c>
      <c r="K16" s="6">
        <v>40.08</v>
      </c>
      <c r="L16" s="8">
        <v>0.35</v>
      </c>
      <c r="M16" s="9">
        <f t="shared" si="0"/>
        <v>0.65</v>
      </c>
      <c r="N16" s="10">
        <v>1</v>
      </c>
      <c r="O16" s="6">
        <v>70</v>
      </c>
      <c r="P16" s="6">
        <v>3</v>
      </c>
      <c r="Q16" s="6">
        <v>0</v>
      </c>
      <c r="R16" s="6">
        <v>1</v>
      </c>
      <c r="S16" s="6" t="s">
        <v>31</v>
      </c>
      <c r="T16" s="6" t="s">
        <v>32</v>
      </c>
    </row>
    <row r="17" spans="1:20" s="6" customFormat="1" ht="13.5" x14ac:dyDescent="0.25">
      <c r="A17" s="6">
        <v>2</v>
      </c>
      <c r="B17" s="5" t="s">
        <v>169</v>
      </c>
      <c r="C17" s="6">
        <v>9</v>
      </c>
      <c r="D17" s="6" t="s">
        <v>204</v>
      </c>
      <c r="E17" s="7" t="s">
        <v>22</v>
      </c>
      <c r="F17" s="6" t="s">
        <v>23</v>
      </c>
      <c r="G17" s="6" t="s">
        <v>24</v>
      </c>
      <c r="H17" s="6">
        <v>52.3</v>
      </c>
      <c r="I17" s="6">
        <v>49</v>
      </c>
      <c r="J17" s="6">
        <v>20</v>
      </c>
      <c r="K17" s="6">
        <v>54.39</v>
      </c>
      <c r="L17" s="8">
        <v>0.6</v>
      </c>
      <c r="M17" s="9">
        <f t="shared" si="0"/>
        <v>0.4</v>
      </c>
      <c r="N17" s="10">
        <v>1</v>
      </c>
      <c r="O17" s="6">
        <v>90</v>
      </c>
      <c r="P17" s="6">
        <v>1</v>
      </c>
      <c r="Q17" s="6">
        <v>0</v>
      </c>
      <c r="R17" s="6">
        <v>1</v>
      </c>
      <c r="S17" s="6" t="s">
        <v>31</v>
      </c>
      <c r="T17" s="6" t="s">
        <v>25</v>
      </c>
    </row>
    <row r="18" spans="1:20" s="6" customFormat="1" ht="13.5" x14ac:dyDescent="0.25">
      <c r="A18" s="6">
        <v>2</v>
      </c>
      <c r="B18" s="5" t="s">
        <v>169</v>
      </c>
      <c r="C18" s="6">
        <v>9</v>
      </c>
      <c r="D18" s="6">
        <v>36</v>
      </c>
      <c r="E18" s="7" t="s">
        <v>22</v>
      </c>
      <c r="F18" s="6" t="s">
        <v>23</v>
      </c>
      <c r="G18" s="6" t="s">
        <v>24</v>
      </c>
      <c r="H18" s="6">
        <v>80.2</v>
      </c>
      <c r="I18" s="6">
        <v>71.099999999999994</v>
      </c>
      <c r="J18" s="6">
        <v>54.8</v>
      </c>
      <c r="K18" s="6">
        <v>479.9</v>
      </c>
      <c r="L18" s="8">
        <v>0.65</v>
      </c>
      <c r="M18" s="9">
        <f t="shared" si="0"/>
        <v>0.35</v>
      </c>
      <c r="N18" s="10">
        <v>1</v>
      </c>
      <c r="O18" s="6">
        <v>95</v>
      </c>
      <c r="P18" s="6">
        <v>8</v>
      </c>
      <c r="Q18" s="6">
        <v>1</v>
      </c>
      <c r="R18" s="6">
        <v>1</v>
      </c>
      <c r="S18" s="6" t="s">
        <v>31</v>
      </c>
      <c r="T18" s="6" t="s">
        <v>32</v>
      </c>
    </row>
    <row r="19" spans="1:20" s="6" customFormat="1" ht="13.5" x14ac:dyDescent="0.25">
      <c r="A19" s="6">
        <v>2</v>
      </c>
      <c r="B19" s="5" t="s">
        <v>169</v>
      </c>
      <c r="C19" s="6">
        <v>9</v>
      </c>
      <c r="D19" s="6" t="s">
        <v>205</v>
      </c>
      <c r="E19" s="7" t="s">
        <v>22</v>
      </c>
      <c r="F19" s="6" t="s">
        <v>23</v>
      </c>
      <c r="G19" s="6" t="s">
        <v>71</v>
      </c>
      <c r="H19" s="6">
        <v>31.74</v>
      </c>
      <c r="I19" s="6">
        <v>31.06</v>
      </c>
      <c r="J19" s="6">
        <v>19.86</v>
      </c>
      <c r="K19" s="6">
        <v>20.97</v>
      </c>
      <c r="L19" s="8">
        <v>0.2</v>
      </c>
      <c r="M19" s="9">
        <f t="shared" si="0"/>
        <v>0.8</v>
      </c>
      <c r="N19" s="10">
        <v>5</v>
      </c>
      <c r="O19" s="6">
        <v>84.6</v>
      </c>
      <c r="P19" s="6">
        <v>11</v>
      </c>
      <c r="Q19" s="6">
        <v>4</v>
      </c>
      <c r="R19" s="6">
        <v>5</v>
      </c>
      <c r="S19" s="6" t="s">
        <v>189</v>
      </c>
      <c r="T19" s="6" t="s">
        <v>190</v>
      </c>
    </row>
    <row r="20" spans="1:20" s="6" customFormat="1" ht="13.5" x14ac:dyDescent="0.25">
      <c r="A20" s="6">
        <v>2</v>
      </c>
      <c r="B20" s="5" t="s">
        <v>169</v>
      </c>
      <c r="C20" s="6">
        <v>10</v>
      </c>
      <c r="D20" s="6" t="s">
        <v>206</v>
      </c>
      <c r="E20" s="7" t="s">
        <v>22</v>
      </c>
      <c r="F20" s="6" t="s">
        <v>23</v>
      </c>
      <c r="G20" s="6" t="s">
        <v>24</v>
      </c>
      <c r="H20" s="6">
        <v>68.989999999999995</v>
      </c>
      <c r="I20" s="6">
        <v>52.32</v>
      </c>
      <c r="J20" s="6">
        <v>46.22</v>
      </c>
      <c r="K20" s="6">
        <v>201.1</v>
      </c>
      <c r="L20" s="8">
        <v>0.5</v>
      </c>
      <c r="M20" s="9">
        <f t="shared" si="0"/>
        <v>0.5</v>
      </c>
      <c r="N20" s="10">
        <v>2</v>
      </c>
      <c r="O20" s="6">
        <v>99.2</v>
      </c>
      <c r="P20" s="6">
        <v>11</v>
      </c>
      <c r="Q20" s="6">
        <v>7</v>
      </c>
      <c r="R20" s="6">
        <v>4</v>
      </c>
      <c r="S20" s="6" t="s">
        <v>192</v>
      </c>
      <c r="T20" s="6" t="s">
        <v>207</v>
      </c>
    </row>
    <row r="21" spans="1:20" s="6" customFormat="1" ht="13.5" x14ac:dyDescent="0.25">
      <c r="A21" s="6">
        <v>2</v>
      </c>
      <c r="B21" s="5" t="s">
        <v>169</v>
      </c>
      <c r="C21" s="6">
        <v>10</v>
      </c>
      <c r="D21" s="6" t="s">
        <v>208</v>
      </c>
      <c r="E21" s="7" t="s">
        <v>22</v>
      </c>
      <c r="F21" s="6" t="s">
        <v>23</v>
      </c>
      <c r="G21" s="6" t="s">
        <v>24</v>
      </c>
      <c r="H21" s="6">
        <v>82.83</v>
      </c>
      <c r="I21" s="6">
        <v>63.44</v>
      </c>
      <c r="J21" s="6">
        <v>34.270000000000003</v>
      </c>
      <c r="K21" s="6">
        <v>206.89</v>
      </c>
      <c r="L21" s="8">
        <v>0.6</v>
      </c>
      <c r="M21" s="9">
        <f t="shared" si="0"/>
        <v>0.4</v>
      </c>
      <c r="N21" s="10">
        <v>2</v>
      </c>
      <c r="O21" s="6">
        <v>92</v>
      </c>
      <c r="P21" s="6">
        <v>6</v>
      </c>
      <c r="Q21" s="6">
        <v>1</v>
      </c>
      <c r="R21" s="6">
        <v>1</v>
      </c>
      <c r="S21" s="6" t="s">
        <v>192</v>
      </c>
      <c r="T21" s="6" t="s">
        <v>207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34EB-ECA8-4356-AB95-8EAF16C6400F}">
  <dimension ref="A1:Z21"/>
  <sheetViews>
    <sheetView workbookViewId="0">
      <selection sqref="A1:XFD21"/>
    </sheetView>
  </sheetViews>
  <sheetFormatPr defaultRowHeight="14.25" x14ac:dyDescent="0.2"/>
  <sheetData>
    <row r="1" spans="1:26" s="3" customFormat="1" ht="32.1" customHeight="1" x14ac:dyDescent="0.25">
      <c r="A1" s="13" t="s">
        <v>36</v>
      </c>
      <c r="B1" s="13" t="s">
        <v>1</v>
      </c>
      <c r="C1" s="14" t="s">
        <v>2</v>
      </c>
      <c r="D1" s="2" t="s">
        <v>37</v>
      </c>
      <c r="E1" s="2" t="s">
        <v>4</v>
      </c>
      <c r="F1" s="2" t="s">
        <v>5</v>
      </c>
      <c r="G1" s="2" t="s">
        <v>38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2" t="s">
        <v>44</v>
      </c>
      <c r="R1" s="1" t="s">
        <v>45</v>
      </c>
      <c r="S1" s="1" t="s">
        <v>46</v>
      </c>
      <c r="T1" s="1" t="s">
        <v>47</v>
      </c>
      <c r="U1" s="2" t="s">
        <v>48</v>
      </c>
      <c r="V1" s="2" t="s">
        <v>49</v>
      </c>
      <c r="W1" s="2" t="s">
        <v>50</v>
      </c>
      <c r="X1" s="1" t="s">
        <v>51</v>
      </c>
      <c r="Y1" s="1" t="s">
        <v>52</v>
      </c>
      <c r="Z1" s="1" t="s">
        <v>53</v>
      </c>
    </row>
    <row r="2" spans="1:26" s="11" customFormat="1" ht="13.5" x14ac:dyDescent="0.25">
      <c r="A2" s="11">
        <v>1</v>
      </c>
      <c r="B2" s="3" t="s">
        <v>20</v>
      </c>
      <c r="C2" s="11">
        <v>1</v>
      </c>
      <c r="D2" s="11" t="s">
        <v>54</v>
      </c>
      <c r="E2" s="11" t="s">
        <v>55</v>
      </c>
      <c r="F2" s="11" t="s">
        <v>23</v>
      </c>
      <c r="G2" s="11" t="s">
        <v>24</v>
      </c>
      <c r="H2" s="11">
        <v>34</v>
      </c>
      <c r="I2" s="11">
        <v>12</v>
      </c>
      <c r="J2" s="11">
        <v>6</v>
      </c>
      <c r="K2" s="11">
        <v>3</v>
      </c>
      <c r="L2" s="11">
        <f t="shared" ref="L2:M17" si="0">H2/I2</f>
        <v>2.8333333333333335</v>
      </c>
      <c r="M2" s="15">
        <f t="shared" si="0"/>
        <v>2</v>
      </c>
      <c r="N2" s="15">
        <f t="shared" ref="N2:N21" si="1">H2/J2</f>
        <v>5.666666666666667</v>
      </c>
      <c r="O2" s="11">
        <v>32</v>
      </c>
      <c r="P2" s="11">
        <v>18</v>
      </c>
      <c r="Q2" s="11" t="s">
        <v>56</v>
      </c>
      <c r="R2" s="11">
        <v>12</v>
      </c>
      <c r="S2" s="11">
        <v>4</v>
      </c>
      <c r="T2" s="9">
        <v>1</v>
      </c>
      <c r="U2" s="11">
        <v>89</v>
      </c>
      <c r="V2" s="11">
        <v>82</v>
      </c>
      <c r="W2" s="11" t="s">
        <v>57</v>
      </c>
      <c r="X2" s="9">
        <v>0</v>
      </c>
      <c r="Y2" s="11">
        <v>3</v>
      </c>
      <c r="Z2" s="11" t="s">
        <v>58</v>
      </c>
    </row>
    <row r="3" spans="1:26" s="11" customFormat="1" ht="13.5" x14ac:dyDescent="0.25">
      <c r="A3" s="11">
        <v>1</v>
      </c>
      <c r="B3" s="3" t="s">
        <v>20</v>
      </c>
      <c r="C3" s="11">
        <v>1</v>
      </c>
      <c r="D3" s="11" t="s">
        <v>21</v>
      </c>
      <c r="E3" s="11" t="s">
        <v>55</v>
      </c>
      <c r="F3" s="11" t="s">
        <v>23</v>
      </c>
      <c r="G3" s="11" t="s">
        <v>59</v>
      </c>
      <c r="H3" s="11">
        <v>20</v>
      </c>
      <c r="I3" s="11">
        <v>17</v>
      </c>
      <c r="J3" s="11">
        <v>3</v>
      </c>
      <c r="K3" s="11">
        <v>1</v>
      </c>
      <c r="L3" s="11">
        <f t="shared" si="0"/>
        <v>1.1764705882352942</v>
      </c>
      <c r="M3" s="15">
        <f t="shared" si="0"/>
        <v>5.666666666666667</v>
      </c>
      <c r="N3" s="15">
        <f t="shared" si="1"/>
        <v>6.666666666666667</v>
      </c>
      <c r="Q3" s="11" t="s">
        <v>56</v>
      </c>
      <c r="T3" s="9">
        <v>1</v>
      </c>
      <c r="U3" s="11">
        <v>110</v>
      </c>
      <c r="W3" s="11" t="s">
        <v>60</v>
      </c>
      <c r="X3" s="9">
        <v>0</v>
      </c>
      <c r="Y3" s="11">
        <v>4</v>
      </c>
      <c r="Z3" s="11" t="s">
        <v>61</v>
      </c>
    </row>
    <row r="4" spans="1:26" s="11" customFormat="1" ht="13.5" x14ac:dyDescent="0.25">
      <c r="A4" s="11">
        <v>1</v>
      </c>
      <c r="B4" s="3" t="s">
        <v>20</v>
      </c>
      <c r="C4" s="11">
        <v>1</v>
      </c>
      <c r="D4" s="11" t="s">
        <v>62</v>
      </c>
      <c r="E4" s="11" t="s">
        <v>55</v>
      </c>
      <c r="F4" s="11" t="s">
        <v>23</v>
      </c>
      <c r="G4" s="11" t="s">
        <v>29</v>
      </c>
      <c r="H4" s="11">
        <v>11</v>
      </c>
      <c r="I4" s="11">
        <v>7</v>
      </c>
      <c r="J4" s="11">
        <v>2</v>
      </c>
      <c r="K4" s="11">
        <v>0.5</v>
      </c>
      <c r="L4" s="11">
        <f t="shared" si="0"/>
        <v>1.5714285714285714</v>
      </c>
      <c r="M4" s="15">
        <f t="shared" si="0"/>
        <v>3.5</v>
      </c>
      <c r="N4" s="15">
        <f t="shared" si="1"/>
        <v>5.5</v>
      </c>
      <c r="Q4" s="11" t="s">
        <v>56</v>
      </c>
      <c r="T4" s="9">
        <v>1</v>
      </c>
      <c r="W4" s="11" t="s">
        <v>60</v>
      </c>
      <c r="X4" s="9">
        <v>0</v>
      </c>
      <c r="Y4" s="11">
        <v>1</v>
      </c>
      <c r="Z4" s="11" t="s">
        <v>61</v>
      </c>
    </row>
    <row r="5" spans="1:26" s="11" customFormat="1" ht="13.5" x14ac:dyDescent="0.25">
      <c r="A5" s="11">
        <v>1</v>
      </c>
      <c r="B5" s="3" t="s">
        <v>20</v>
      </c>
      <c r="C5" s="11">
        <v>2</v>
      </c>
      <c r="D5" s="11" t="s">
        <v>21</v>
      </c>
      <c r="E5" s="11" t="s">
        <v>55</v>
      </c>
      <c r="F5" s="11" t="s">
        <v>23</v>
      </c>
      <c r="G5" s="11" t="s">
        <v>24</v>
      </c>
      <c r="H5" s="11">
        <v>58</v>
      </c>
      <c r="I5" s="11">
        <v>38</v>
      </c>
      <c r="J5" s="11">
        <v>11</v>
      </c>
      <c r="K5" s="11">
        <v>27</v>
      </c>
      <c r="L5" s="11">
        <f t="shared" si="0"/>
        <v>1.5263157894736843</v>
      </c>
      <c r="M5" s="15">
        <f t="shared" si="0"/>
        <v>3.4545454545454546</v>
      </c>
      <c r="N5" s="15">
        <f t="shared" si="1"/>
        <v>5.2727272727272725</v>
      </c>
      <c r="Q5" s="11" t="s">
        <v>56</v>
      </c>
      <c r="T5" s="9">
        <v>1</v>
      </c>
      <c r="U5" s="11">
        <v>111</v>
      </c>
      <c r="V5" s="11">
        <v>52</v>
      </c>
      <c r="W5" s="11" t="s">
        <v>63</v>
      </c>
      <c r="X5" s="9">
        <v>0</v>
      </c>
      <c r="Y5" s="11">
        <v>5</v>
      </c>
      <c r="Z5" s="11" t="s">
        <v>64</v>
      </c>
    </row>
    <row r="6" spans="1:26" s="11" customFormat="1" ht="13.5" x14ac:dyDescent="0.25">
      <c r="A6" s="11">
        <v>1</v>
      </c>
      <c r="B6" s="3" t="s">
        <v>20</v>
      </c>
      <c r="C6" s="11">
        <v>3</v>
      </c>
      <c r="D6" s="11" t="s">
        <v>21</v>
      </c>
      <c r="E6" s="11" t="s">
        <v>55</v>
      </c>
      <c r="F6" s="11" t="s">
        <v>23</v>
      </c>
      <c r="G6" s="11" t="s">
        <v>24</v>
      </c>
      <c r="H6" s="11">
        <v>17</v>
      </c>
      <c r="I6" s="11">
        <v>16</v>
      </c>
      <c r="J6" s="11">
        <v>5</v>
      </c>
      <c r="K6" s="11">
        <v>1</v>
      </c>
      <c r="L6" s="11">
        <f t="shared" si="0"/>
        <v>1.0625</v>
      </c>
      <c r="M6" s="15">
        <f t="shared" si="0"/>
        <v>3.2</v>
      </c>
      <c r="N6" s="15">
        <f t="shared" si="1"/>
        <v>3.4</v>
      </c>
      <c r="Q6" s="11" t="s">
        <v>65</v>
      </c>
      <c r="T6" s="9"/>
      <c r="U6" s="11">
        <v>105</v>
      </c>
      <c r="W6" s="11" t="s">
        <v>60</v>
      </c>
      <c r="X6" s="9">
        <v>0</v>
      </c>
      <c r="Y6" s="11">
        <v>2</v>
      </c>
      <c r="Z6" s="11" t="s">
        <v>61</v>
      </c>
    </row>
    <row r="7" spans="1:26" s="11" customFormat="1" ht="13.5" x14ac:dyDescent="0.25">
      <c r="A7" s="11">
        <v>1</v>
      </c>
      <c r="B7" s="3" t="s">
        <v>20</v>
      </c>
      <c r="C7" s="11">
        <v>3</v>
      </c>
      <c r="D7" s="11" t="s">
        <v>66</v>
      </c>
      <c r="E7" s="11" t="s">
        <v>55</v>
      </c>
      <c r="F7" s="11" t="s">
        <v>23</v>
      </c>
      <c r="G7" s="11" t="s">
        <v>24</v>
      </c>
      <c r="H7" s="11">
        <v>13</v>
      </c>
      <c r="I7" s="11">
        <v>12</v>
      </c>
      <c r="J7" s="11">
        <v>3</v>
      </c>
      <c r="K7" s="11">
        <v>0.5</v>
      </c>
      <c r="L7" s="11">
        <f t="shared" si="0"/>
        <v>1.0833333333333333</v>
      </c>
      <c r="M7" s="15">
        <f t="shared" si="0"/>
        <v>4</v>
      </c>
      <c r="N7" s="15">
        <f t="shared" si="1"/>
        <v>4.333333333333333</v>
      </c>
      <c r="Q7" s="11" t="s">
        <v>56</v>
      </c>
      <c r="T7" s="9">
        <v>1</v>
      </c>
      <c r="U7" s="11">
        <v>94</v>
      </c>
      <c r="W7" s="11" t="s">
        <v>60</v>
      </c>
      <c r="X7" s="9">
        <v>0</v>
      </c>
      <c r="Y7" s="11">
        <v>2</v>
      </c>
      <c r="Z7" s="11" t="s">
        <v>61</v>
      </c>
    </row>
    <row r="8" spans="1:26" s="11" customFormat="1" ht="13.5" x14ac:dyDescent="0.25">
      <c r="A8" s="11">
        <v>1</v>
      </c>
      <c r="B8" s="3" t="s">
        <v>20</v>
      </c>
      <c r="C8" s="11">
        <v>4</v>
      </c>
      <c r="D8" s="11" t="s">
        <v>30</v>
      </c>
      <c r="E8" s="11" t="s">
        <v>55</v>
      </c>
      <c r="F8" s="11" t="s">
        <v>27</v>
      </c>
      <c r="G8" s="11" t="s">
        <v>29</v>
      </c>
      <c r="H8" s="11">
        <v>12</v>
      </c>
      <c r="I8" s="11">
        <v>12</v>
      </c>
      <c r="J8" s="11">
        <v>2</v>
      </c>
      <c r="K8" s="11">
        <v>0.5</v>
      </c>
      <c r="L8" s="11">
        <f t="shared" si="0"/>
        <v>1</v>
      </c>
      <c r="M8" s="15">
        <f t="shared" si="0"/>
        <v>6</v>
      </c>
      <c r="N8" s="15">
        <f t="shared" si="1"/>
        <v>6</v>
      </c>
      <c r="Q8" s="11" t="s">
        <v>67</v>
      </c>
      <c r="R8" s="11">
        <v>3</v>
      </c>
      <c r="T8" s="9"/>
      <c r="U8" s="11">
        <v>104</v>
      </c>
      <c r="V8" s="11">
        <v>87</v>
      </c>
      <c r="W8" s="11" t="s">
        <v>63</v>
      </c>
      <c r="X8" s="9">
        <v>0</v>
      </c>
      <c r="Y8" s="11">
        <v>1</v>
      </c>
      <c r="Z8" s="11" t="s">
        <v>68</v>
      </c>
    </row>
    <row r="9" spans="1:26" s="11" customFormat="1" ht="13.5" x14ac:dyDescent="0.25">
      <c r="A9" s="11">
        <v>1</v>
      </c>
      <c r="B9" s="3" t="s">
        <v>20</v>
      </c>
      <c r="C9" s="11">
        <v>5</v>
      </c>
      <c r="D9" s="11" t="s">
        <v>69</v>
      </c>
      <c r="E9" s="11" t="s">
        <v>55</v>
      </c>
      <c r="F9" s="11" t="s">
        <v>27</v>
      </c>
      <c r="G9" s="11" t="s">
        <v>29</v>
      </c>
      <c r="H9" s="11">
        <v>16.5</v>
      </c>
      <c r="I9" s="11">
        <v>11.5</v>
      </c>
      <c r="J9" s="11">
        <v>1</v>
      </c>
      <c r="K9" s="11">
        <v>0.5</v>
      </c>
      <c r="L9" s="11">
        <f t="shared" si="0"/>
        <v>1.4347826086956521</v>
      </c>
      <c r="M9" s="15">
        <f t="shared" si="0"/>
        <v>11.5</v>
      </c>
      <c r="N9" s="15">
        <f t="shared" si="1"/>
        <v>16.5</v>
      </c>
      <c r="O9" s="11">
        <v>11.5</v>
      </c>
      <c r="P9" s="11">
        <v>16.5</v>
      </c>
      <c r="Q9" s="11" t="s">
        <v>67</v>
      </c>
      <c r="R9" s="11">
        <v>4</v>
      </c>
      <c r="T9" s="9"/>
      <c r="W9" s="11" t="s">
        <v>60</v>
      </c>
      <c r="X9" s="9">
        <v>0</v>
      </c>
      <c r="Y9" s="11">
        <v>0</v>
      </c>
    </row>
    <row r="10" spans="1:26" s="11" customFormat="1" ht="13.5" x14ac:dyDescent="0.25">
      <c r="A10" s="11">
        <v>1</v>
      </c>
      <c r="B10" s="3" t="s">
        <v>20</v>
      </c>
      <c r="C10" s="11">
        <v>5</v>
      </c>
      <c r="D10" s="11" t="s">
        <v>70</v>
      </c>
      <c r="E10" s="11" t="s">
        <v>55</v>
      </c>
      <c r="F10" s="11" t="s">
        <v>23</v>
      </c>
      <c r="G10" s="11" t="s">
        <v>71</v>
      </c>
      <c r="H10" s="11">
        <v>24.1</v>
      </c>
      <c r="I10" s="11">
        <v>14.5</v>
      </c>
      <c r="J10" s="11">
        <v>3.9</v>
      </c>
      <c r="K10" s="11">
        <v>1</v>
      </c>
      <c r="L10" s="11">
        <f t="shared" si="0"/>
        <v>1.6620689655172414</v>
      </c>
      <c r="M10" s="15">
        <f t="shared" si="0"/>
        <v>3.7179487179487181</v>
      </c>
      <c r="N10" s="15">
        <f t="shared" si="1"/>
        <v>6.1794871794871797</v>
      </c>
      <c r="O10" s="11">
        <v>14.5</v>
      </c>
      <c r="P10" s="11">
        <v>24.1</v>
      </c>
      <c r="Q10" s="11" t="s">
        <v>56</v>
      </c>
      <c r="R10" s="11">
        <v>18.5</v>
      </c>
      <c r="S10" s="11">
        <v>3.5</v>
      </c>
      <c r="T10" s="9">
        <v>1</v>
      </c>
      <c r="U10" s="11">
        <v>100</v>
      </c>
      <c r="V10" s="11">
        <v>60</v>
      </c>
      <c r="W10" s="11" t="s">
        <v>60</v>
      </c>
      <c r="X10" s="9">
        <v>0</v>
      </c>
      <c r="Y10" s="11">
        <v>0</v>
      </c>
    </row>
    <row r="11" spans="1:26" s="11" customFormat="1" ht="13.5" x14ac:dyDescent="0.25">
      <c r="A11" s="11">
        <v>1</v>
      </c>
      <c r="B11" s="3" t="s">
        <v>20</v>
      </c>
      <c r="C11" s="11">
        <v>5</v>
      </c>
      <c r="D11" s="11" t="s">
        <v>26</v>
      </c>
      <c r="E11" s="11" t="s">
        <v>55</v>
      </c>
      <c r="F11" s="11" t="s">
        <v>23</v>
      </c>
      <c r="G11" s="11" t="s">
        <v>24</v>
      </c>
      <c r="H11" s="11">
        <v>29.1</v>
      </c>
      <c r="I11" s="11">
        <v>22.2</v>
      </c>
      <c r="J11" s="11">
        <v>9</v>
      </c>
      <c r="K11" s="11">
        <v>6</v>
      </c>
      <c r="L11" s="11">
        <f t="shared" si="0"/>
        <v>1.310810810810811</v>
      </c>
      <c r="M11" s="15">
        <f t="shared" si="0"/>
        <v>2.4666666666666668</v>
      </c>
      <c r="N11" s="15">
        <f t="shared" si="1"/>
        <v>3.2333333333333334</v>
      </c>
      <c r="O11" s="11">
        <v>29.1</v>
      </c>
      <c r="P11" s="11">
        <v>22.2</v>
      </c>
      <c r="Q11" s="11" t="s">
        <v>65</v>
      </c>
      <c r="R11" s="11">
        <v>5.2</v>
      </c>
      <c r="S11" s="11">
        <v>1.6</v>
      </c>
      <c r="T11" s="9">
        <v>0</v>
      </c>
      <c r="U11" s="11">
        <v>120</v>
      </c>
      <c r="V11" s="11">
        <v>70</v>
      </c>
      <c r="X11" s="9">
        <v>0.4</v>
      </c>
      <c r="Y11" s="11">
        <v>1</v>
      </c>
      <c r="Z11" s="11" t="s">
        <v>61</v>
      </c>
    </row>
    <row r="12" spans="1:26" s="11" customFormat="1" ht="13.5" x14ac:dyDescent="0.25">
      <c r="A12" s="11">
        <v>1</v>
      </c>
      <c r="B12" s="3" t="s">
        <v>20</v>
      </c>
      <c r="C12" s="11">
        <v>5</v>
      </c>
      <c r="D12" s="11" t="s">
        <v>72</v>
      </c>
      <c r="E12" s="11" t="s">
        <v>55</v>
      </c>
      <c r="F12" s="11" t="s">
        <v>23</v>
      </c>
      <c r="G12" s="11" t="s">
        <v>24</v>
      </c>
      <c r="H12" s="11">
        <v>37.700000000000003</v>
      </c>
      <c r="I12" s="11">
        <v>25.3</v>
      </c>
      <c r="J12" s="11">
        <v>10.6</v>
      </c>
      <c r="K12" s="11">
        <v>9</v>
      </c>
      <c r="L12" s="11">
        <f t="shared" si="0"/>
        <v>1.4901185770750989</v>
      </c>
      <c r="M12" s="15">
        <f t="shared" si="0"/>
        <v>2.3867924528301887</v>
      </c>
      <c r="N12" s="15">
        <f t="shared" si="1"/>
        <v>3.5566037735849059</v>
      </c>
      <c r="O12" s="11">
        <v>25.3</v>
      </c>
      <c r="P12" s="11">
        <v>37.700000000000003</v>
      </c>
      <c r="Q12" s="11" t="s">
        <v>65</v>
      </c>
      <c r="R12" s="11">
        <v>17</v>
      </c>
      <c r="S12" s="11">
        <v>12</v>
      </c>
      <c r="T12" s="9">
        <v>0</v>
      </c>
      <c r="U12" s="11">
        <v>110</v>
      </c>
      <c r="V12" s="11">
        <v>40</v>
      </c>
      <c r="X12" s="9">
        <v>0</v>
      </c>
      <c r="Y12" s="11">
        <v>2</v>
      </c>
      <c r="Z12" s="11" t="s">
        <v>61</v>
      </c>
    </row>
    <row r="13" spans="1:26" s="11" customFormat="1" ht="13.5" x14ac:dyDescent="0.25">
      <c r="A13" s="11">
        <v>1</v>
      </c>
      <c r="B13" s="3" t="s">
        <v>20</v>
      </c>
      <c r="C13" s="11">
        <v>5</v>
      </c>
      <c r="D13" s="11" t="s">
        <v>54</v>
      </c>
      <c r="E13" s="11" t="s">
        <v>55</v>
      </c>
      <c r="F13" s="11" t="s">
        <v>23</v>
      </c>
      <c r="G13" s="11" t="s">
        <v>24</v>
      </c>
      <c r="H13" s="11">
        <v>22.8</v>
      </c>
      <c r="I13" s="11">
        <v>16.899999999999999</v>
      </c>
      <c r="J13" s="11">
        <v>5.5</v>
      </c>
      <c r="K13" s="11">
        <v>2</v>
      </c>
      <c r="L13" s="11">
        <f t="shared" si="0"/>
        <v>1.3491124260355032</v>
      </c>
      <c r="M13" s="15">
        <f t="shared" si="0"/>
        <v>3.0727272727272723</v>
      </c>
      <c r="N13" s="15">
        <f t="shared" si="1"/>
        <v>4.1454545454545455</v>
      </c>
      <c r="O13" s="11">
        <v>16.899999999999999</v>
      </c>
      <c r="P13" s="11">
        <v>22.8</v>
      </c>
      <c r="Q13" s="11" t="s">
        <v>56</v>
      </c>
      <c r="R13" s="11">
        <v>13.5</v>
      </c>
      <c r="S13" s="11">
        <v>3.5</v>
      </c>
      <c r="T13" s="9">
        <v>1</v>
      </c>
      <c r="U13" s="11">
        <v>95</v>
      </c>
      <c r="V13" s="11">
        <v>75</v>
      </c>
      <c r="X13" s="9">
        <v>0.2</v>
      </c>
      <c r="Y13" s="11">
        <v>0</v>
      </c>
    </row>
    <row r="14" spans="1:26" s="11" customFormat="1" ht="14.85" customHeight="1" x14ac:dyDescent="0.25">
      <c r="A14" s="11">
        <v>1</v>
      </c>
      <c r="B14" s="3" t="s">
        <v>20</v>
      </c>
      <c r="C14" s="11">
        <v>6</v>
      </c>
      <c r="D14" s="11" t="s">
        <v>54</v>
      </c>
      <c r="E14" s="11" t="s">
        <v>55</v>
      </c>
      <c r="F14" s="11" t="s">
        <v>23</v>
      </c>
      <c r="G14" s="11" t="s">
        <v>24</v>
      </c>
      <c r="H14" s="11">
        <v>35</v>
      </c>
      <c r="I14" s="11">
        <v>17</v>
      </c>
      <c r="J14" s="11">
        <v>6</v>
      </c>
      <c r="K14" s="11">
        <v>3.5</v>
      </c>
      <c r="L14" s="11">
        <f t="shared" si="0"/>
        <v>2.0588235294117645</v>
      </c>
      <c r="M14" s="15">
        <f t="shared" si="0"/>
        <v>2.8333333333333335</v>
      </c>
      <c r="N14" s="15">
        <f t="shared" si="1"/>
        <v>5.833333333333333</v>
      </c>
      <c r="O14" s="11">
        <v>32</v>
      </c>
      <c r="P14" s="11">
        <v>18</v>
      </c>
      <c r="Q14" s="11" t="s">
        <v>56</v>
      </c>
      <c r="R14" s="11">
        <v>12</v>
      </c>
      <c r="S14" s="11">
        <v>4</v>
      </c>
      <c r="T14" s="9">
        <v>1</v>
      </c>
      <c r="U14" s="11">
        <v>89</v>
      </c>
      <c r="V14" s="11">
        <v>82</v>
      </c>
      <c r="W14" s="11" t="s">
        <v>60</v>
      </c>
      <c r="X14" s="9">
        <v>0</v>
      </c>
      <c r="Y14" s="16">
        <v>3</v>
      </c>
      <c r="Z14" s="11" t="s">
        <v>61</v>
      </c>
    </row>
    <row r="15" spans="1:26" s="11" customFormat="1" ht="13.5" x14ac:dyDescent="0.25">
      <c r="A15" s="11">
        <v>1</v>
      </c>
      <c r="B15" s="3" t="s">
        <v>20</v>
      </c>
      <c r="C15" s="11">
        <v>6</v>
      </c>
      <c r="D15" s="11" t="s">
        <v>66</v>
      </c>
      <c r="E15" s="11" t="s">
        <v>55</v>
      </c>
      <c r="F15" s="11" t="s">
        <v>23</v>
      </c>
      <c r="G15" s="11" t="s">
        <v>24</v>
      </c>
      <c r="H15" s="11">
        <v>42</v>
      </c>
      <c r="I15" s="11">
        <v>39</v>
      </c>
      <c r="J15" s="11">
        <v>10</v>
      </c>
      <c r="K15" s="11">
        <v>10.5</v>
      </c>
      <c r="L15" s="11">
        <f t="shared" si="0"/>
        <v>1.0769230769230769</v>
      </c>
      <c r="M15" s="15">
        <f t="shared" si="0"/>
        <v>3.9</v>
      </c>
      <c r="N15" s="15">
        <f t="shared" si="1"/>
        <v>4.2</v>
      </c>
      <c r="O15" s="11">
        <v>37</v>
      </c>
      <c r="P15" s="11">
        <v>33</v>
      </c>
      <c r="Q15" s="11" t="s">
        <v>56</v>
      </c>
      <c r="R15" s="11">
        <v>22</v>
      </c>
      <c r="S15" s="11">
        <v>3</v>
      </c>
      <c r="T15" s="9">
        <v>1</v>
      </c>
      <c r="U15" s="11">
        <v>110</v>
      </c>
      <c r="V15" s="11">
        <v>75</v>
      </c>
      <c r="W15" s="11" t="s">
        <v>63</v>
      </c>
      <c r="X15" s="9">
        <v>0.3</v>
      </c>
      <c r="Y15" s="11">
        <v>3</v>
      </c>
      <c r="Z15" s="11" t="s">
        <v>61</v>
      </c>
    </row>
    <row r="16" spans="1:26" s="11" customFormat="1" ht="13.5" x14ac:dyDescent="0.25">
      <c r="A16" s="11">
        <v>1</v>
      </c>
      <c r="B16" s="3" t="s">
        <v>20</v>
      </c>
      <c r="C16" s="11">
        <v>6</v>
      </c>
      <c r="D16" s="11" t="s">
        <v>73</v>
      </c>
      <c r="E16" s="11" t="s">
        <v>55</v>
      </c>
      <c r="F16" s="11" t="s">
        <v>23</v>
      </c>
      <c r="G16" s="11" t="s">
        <v>24</v>
      </c>
      <c r="H16" s="11">
        <v>31</v>
      </c>
      <c r="I16" s="11">
        <v>22</v>
      </c>
      <c r="J16" s="11">
        <v>6</v>
      </c>
      <c r="K16" s="11">
        <v>4</v>
      </c>
      <c r="L16" s="11">
        <f t="shared" si="0"/>
        <v>1.4090909090909092</v>
      </c>
      <c r="M16" s="15">
        <f t="shared" si="0"/>
        <v>3.6666666666666665</v>
      </c>
      <c r="N16" s="15">
        <f t="shared" si="1"/>
        <v>5.166666666666667</v>
      </c>
      <c r="O16" s="11">
        <v>24</v>
      </c>
      <c r="P16" s="11">
        <v>23</v>
      </c>
      <c r="Q16" s="11" t="s">
        <v>56</v>
      </c>
      <c r="R16" s="11">
        <v>8</v>
      </c>
      <c r="S16" s="11">
        <v>2</v>
      </c>
      <c r="T16" s="9">
        <v>1</v>
      </c>
      <c r="U16" s="11">
        <v>115</v>
      </c>
      <c r="V16" s="11">
        <v>84</v>
      </c>
      <c r="W16" s="11" t="s">
        <v>60</v>
      </c>
      <c r="X16" s="9">
        <v>0.2</v>
      </c>
      <c r="Y16" s="11">
        <v>0</v>
      </c>
    </row>
    <row r="17" spans="1:26" s="11" customFormat="1" ht="13.5" x14ac:dyDescent="0.25">
      <c r="A17" s="11">
        <v>1</v>
      </c>
      <c r="B17" s="3" t="s">
        <v>20</v>
      </c>
      <c r="C17" s="11">
        <v>6</v>
      </c>
      <c r="D17" s="11" t="s">
        <v>21</v>
      </c>
      <c r="E17" s="11" t="s">
        <v>55</v>
      </c>
      <c r="F17" s="11" t="s">
        <v>23</v>
      </c>
      <c r="G17" s="11" t="s">
        <v>24</v>
      </c>
      <c r="H17" s="11">
        <v>39</v>
      </c>
      <c r="I17" s="11">
        <v>35</v>
      </c>
      <c r="J17" s="11">
        <v>14</v>
      </c>
      <c r="K17" s="11">
        <v>18.5</v>
      </c>
      <c r="L17" s="11">
        <f t="shared" si="0"/>
        <v>1.1142857142857143</v>
      </c>
      <c r="M17" s="15">
        <f t="shared" si="0"/>
        <v>2.5</v>
      </c>
      <c r="N17" s="15">
        <f t="shared" si="1"/>
        <v>2.7857142857142856</v>
      </c>
      <c r="O17" s="11">
        <v>31</v>
      </c>
      <c r="P17" s="11">
        <v>35</v>
      </c>
      <c r="Q17" s="11" t="s">
        <v>56</v>
      </c>
      <c r="R17" s="11">
        <v>32</v>
      </c>
      <c r="S17" s="11">
        <v>14</v>
      </c>
      <c r="T17" s="9">
        <v>1</v>
      </c>
      <c r="U17" s="11">
        <v>95</v>
      </c>
      <c r="V17" s="11">
        <v>83</v>
      </c>
      <c r="W17" s="11" t="s">
        <v>60</v>
      </c>
      <c r="X17" s="9">
        <v>0.3</v>
      </c>
      <c r="Y17" s="11">
        <v>2</v>
      </c>
      <c r="Z17" s="11" t="s">
        <v>61</v>
      </c>
    </row>
    <row r="18" spans="1:26" s="11" customFormat="1" ht="13.5" x14ac:dyDescent="0.25">
      <c r="A18" s="11">
        <v>1</v>
      </c>
      <c r="B18" s="3" t="s">
        <v>20</v>
      </c>
      <c r="C18" s="11">
        <v>6</v>
      </c>
      <c r="D18" s="11" t="s">
        <v>54</v>
      </c>
      <c r="E18" s="11" t="s">
        <v>55</v>
      </c>
      <c r="F18" s="11" t="s">
        <v>23</v>
      </c>
      <c r="G18" s="11" t="s">
        <v>24</v>
      </c>
      <c r="H18" s="11">
        <v>61</v>
      </c>
      <c r="I18" s="11">
        <v>47</v>
      </c>
      <c r="J18" s="11">
        <v>18</v>
      </c>
      <c r="K18" s="11">
        <v>44.5</v>
      </c>
      <c r="L18" s="11">
        <f t="shared" ref="L18:M21" si="2">H18/I18</f>
        <v>1.2978723404255319</v>
      </c>
      <c r="M18" s="15">
        <f t="shared" si="2"/>
        <v>2.6111111111111112</v>
      </c>
      <c r="N18" s="15">
        <f t="shared" si="1"/>
        <v>3.3888888888888888</v>
      </c>
      <c r="O18" s="11">
        <v>59</v>
      </c>
      <c r="P18" s="11">
        <v>39</v>
      </c>
      <c r="Q18" s="11" t="s">
        <v>56</v>
      </c>
      <c r="R18" s="11">
        <v>37</v>
      </c>
      <c r="S18" s="11">
        <v>11</v>
      </c>
      <c r="T18" s="9">
        <v>1</v>
      </c>
      <c r="U18" s="11">
        <v>140</v>
      </c>
      <c r="V18" s="11">
        <v>54</v>
      </c>
      <c r="W18" s="11" t="s">
        <v>63</v>
      </c>
      <c r="X18" s="9">
        <v>0.5</v>
      </c>
      <c r="Y18" s="11">
        <v>2</v>
      </c>
      <c r="Z18" s="11" t="s">
        <v>61</v>
      </c>
    </row>
    <row r="19" spans="1:26" s="11" customFormat="1" ht="13.5" x14ac:dyDescent="0.25">
      <c r="A19" s="11">
        <v>1</v>
      </c>
      <c r="B19" s="3" t="s">
        <v>20</v>
      </c>
      <c r="C19" s="11">
        <v>6</v>
      </c>
      <c r="D19" s="11" t="s">
        <v>72</v>
      </c>
      <c r="E19" s="11" t="s">
        <v>55</v>
      </c>
      <c r="F19" s="11" t="s">
        <v>23</v>
      </c>
      <c r="G19" s="11" t="s">
        <v>24</v>
      </c>
      <c r="H19" s="11">
        <v>46</v>
      </c>
      <c r="I19" s="11">
        <v>18</v>
      </c>
      <c r="J19" s="11">
        <v>15</v>
      </c>
      <c r="K19" s="11">
        <v>11</v>
      </c>
      <c r="L19" s="11">
        <f t="shared" si="2"/>
        <v>2.5555555555555554</v>
      </c>
      <c r="M19" s="15">
        <f t="shared" si="2"/>
        <v>1.2</v>
      </c>
      <c r="N19" s="15">
        <f t="shared" si="1"/>
        <v>3.0666666666666669</v>
      </c>
      <c r="O19" s="11">
        <v>46</v>
      </c>
      <c r="P19" s="11">
        <v>18</v>
      </c>
      <c r="Q19" s="11" t="s">
        <v>56</v>
      </c>
      <c r="R19" s="11">
        <v>11</v>
      </c>
      <c r="S19" s="11">
        <v>11</v>
      </c>
      <c r="T19" s="9">
        <v>1</v>
      </c>
      <c r="U19" s="11">
        <v>70</v>
      </c>
      <c r="V19" s="11">
        <v>103</v>
      </c>
      <c r="W19" s="11" t="s">
        <v>60</v>
      </c>
      <c r="X19" s="9">
        <v>0</v>
      </c>
      <c r="Y19" s="11">
        <v>2</v>
      </c>
      <c r="Z19" s="11" t="s">
        <v>61</v>
      </c>
    </row>
    <row r="20" spans="1:26" s="11" customFormat="1" ht="13.5" x14ac:dyDescent="0.25">
      <c r="A20" s="11">
        <v>1</v>
      </c>
      <c r="B20" s="3" t="s">
        <v>20</v>
      </c>
      <c r="C20" s="11">
        <v>6</v>
      </c>
      <c r="D20" s="11" t="s">
        <v>74</v>
      </c>
      <c r="E20" s="11" t="s">
        <v>55</v>
      </c>
      <c r="F20" s="11" t="s">
        <v>23</v>
      </c>
      <c r="G20" s="11" t="s">
        <v>24</v>
      </c>
      <c r="H20" s="11">
        <v>18</v>
      </c>
      <c r="I20" s="11">
        <v>13</v>
      </c>
      <c r="J20" s="11">
        <v>7</v>
      </c>
      <c r="K20" s="11">
        <v>1</v>
      </c>
      <c r="L20" s="11">
        <f t="shared" si="2"/>
        <v>1.3846153846153846</v>
      </c>
      <c r="M20" s="15">
        <f t="shared" si="2"/>
        <v>1.8571428571428572</v>
      </c>
      <c r="N20" s="15">
        <f t="shared" si="1"/>
        <v>2.5714285714285716</v>
      </c>
      <c r="Q20" s="11" t="s">
        <v>56</v>
      </c>
      <c r="T20" s="9"/>
      <c r="X20" s="9">
        <v>0.8</v>
      </c>
    </row>
    <row r="21" spans="1:26" s="11" customFormat="1" ht="13.5" x14ac:dyDescent="0.25">
      <c r="A21" s="11">
        <v>1</v>
      </c>
      <c r="B21" s="3" t="s">
        <v>20</v>
      </c>
      <c r="C21" s="11">
        <v>6</v>
      </c>
      <c r="D21" s="11" t="s">
        <v>75</v>
      </c>
      <c r="E21" s="11" t="s">
        <v>55</v>
      </c>
      <c r="F21" s="11" t="s">
        <v>23</v>
      </c>
      <c r="G21" s="11" t="s">
        <v>71</v>
      </c>
      <c r="H21" s="11">
        <v>29</v>
      </c>
      <c r="I21" s="11">
        <v>13</v>
      </c>
      <c r="J21" s="11">
        <v>5</v>
      </c>
      <c r="K21" s="11">
        <v>1</v>
      </c>
      <c r="L21" s="11">
        <f t="shared" si="2"/>
        <v>2.2307692307692308</v>
      </c>
      <c r="M21" s="15">
        <f t="shared" si="2"/>
        <v>2.6</v>
      </c>
      <c r="N21" s="15">
        <f t="shared" si="1"/>
        <v>5.8</v>
      </c>
      <c r="O21" s="11">
        <v>29</v>
      </c>
      <c r="P21" s="11">
        <v>13</v>
      </c>
      <c r="Q21" s="11" t="s">
        <v>67</v>
      </c>
      <c r="R21" s="11">
        <v>4</v>
      </c>
      <c r="T21" s="9"/>
      <c r="U21" s="11">
        <v>115</v>
      </c>
      <c r="W21" s="11" t="s">
        <v>60</v>
      </c>
      <c r="X21" s="9">
        <v>0.05</v>
      </c>
      <c r="Y21" s="11">
        <v>4</v>
      </c>
      <c r="Z21" s="11" t="s">
        <v>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E78A-5EAC-480F-8540-B0283E28E975}">
  <dimension ref="A1:R21"/>
  <sheetViews>
    <sheetView workbookViewId="0">
      <selection activeCell="H37" sqref="H37"/>
    </sheetView>
  </sheetViews>
  <sheetFormatPr defaultRowHeight="14.25" x14ac:dyDescent="0.2"/>
  <sheetData>
    <row r="1" spans="1:18" s="3" customFormat="1" ht="33.950000000000003" customHeight="1" x14ac:dyDescent="0.25">
      <c r="A1" s="13" t="s">
        <v>36</v>
      </c>
      <c r="B1" s="13" t="s">
        <v>1</v>
      </c>
      <c r="C1" s="14" t="s">
        <v>2</v>
      </c>
      <c r="D1" s="2" t="s">
        <v>37</v>
      </c>
      <c r="E1" s="2" t="s">
        <v>4</v>
      </c>
      <c r="F1" s="2" t="s">
        <v>5</v>
      </c>
      <c r="G1" s="2" t="s">
        <v>76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77</v>
      </c>
      <c r="N1" s="1" t="s">
        <v>78</v>
      </c>
      <c r="O1" s="1" t="s">
        <v>46</v>
      </c>
      <c r="P1" s="1" t="s">
        <v>47</v>
      </c>
      <c r="Q1" s="2" t="s">
        <v>48</v>
      </c>
      <c r="R1" s="2" t="s">
        <v>49</v>
      </c>
    </row>
    <row r="2" spans="1:18" s="6" customFormat="1" ht="13.5" x14ac:dyDescent="0.25">
      <c r="A2" s="6">
        <v>1</v>
      </c>
      <c r="B2" s="5" t="s">
        <v>20</v>
      </c>
      <c r="C2" s="6">
        <v>5</v>
      </c>
      <c r="D2" s="6" t="s">
        <v>79</v>
      </c>
      <c r="E2" s="6" t="s">
        <v>80</v>
      </c>
      <c r="F2" s="6" t="s">
        <v>23</v>
      </c>
      <c r="G2" s="6" t="s">
        <v>81</v>
      </c>
      <c r="H2" s="6" t="s">
        <v>29</v>
      </c>
      <c r="I2" s="6">
        <v>9.1999999999999993</v>
      </c>
      <c r="J2" s="11">
        <v>5</v>
      </c>
      <c r="K2" s="11">
        <v>1.5</v>
      </c>
      <c r="L2" s="11">
        <v>0.2</v>
      </c>
      <c r="M2" s="11" t="s">
        <v>67</v>
      </c>
      <c r="N2" s="11">
        <v>3</v>
      </c>
      <c r="O2" s="11"/>
      <c r="P2" s="8"/>
    </row>
    <row r="3" spans="1:18" s="6" customFormat="1" ht="13.5" x14ac:dyDescent="0.25">
      <c r="A3" s="6">
        <v>1</v>
      </c>
      <c r="B3" s="5" t="s">
        <v>33</v>
      </c>
      <c r="C3" s="6">
        <v>4</v>
      </c>
      <c r="D3" s="6" t="s">
        <v>82</v>
      </c>
      <c r="E3" s="6" t="s">
        <v>80</v>
      </c>
      <c r="F3" s="6" t="s">
        <v>27</v>
      </c>
      <c r="G3" s="6" t="s">
        <v>81</v>
      </c>
      <c r="H3" s="6" t="s">
        <v>71</v>
      </c>
      <c r="I3" s="6">
        <v>22</v>
      </c>
      <c r="J3" s="6">
        <v>22</v>
      </c>
      <c r="K3" s="6">
        <v>4</v>
      </c>
      <c r="L3" s="6">
        <v>2.5</v>
      </c>
      <c r="M3" s="6" t="s">
        <v>67</v>
      </c>
      <c r="N3" s="6">
        <v>4</v>
      </c>
      <c r="P3" s="8"/>
    </row>
    <row r="4" spans="1:18" s="6" customFormat="1" ht="13.5" x14ac:dyDescent="0.25">
      <c r="A4" s="6">
        <v>1</v>
      </c>
      <c r="B4" s="5" t="s">
        <v>33</v>
      </c>
      <c r="C4" s="6">
        <v>4</v>
      </c>
      <c r="D4" s="6" t="s">
        <v>83</v>
      </c>
      <c r="E4" s="6" t="s">
        <v>80</v>
      </c>
      <c r="F4" s="6" t="s">
        <v>23</v>
      </c>
      <c r="G4" s="6" t="s">
        <v>81</v>
      </c>
      <c r="H4" s="6" t="s">
        <v>24</v>
      </c>
      <c r="I4" s="6">
        <v>33</v>
      </c>
      <c r="J4" s="6">
        <v>21</v>
      </c>
      <c r="K4" s="6">
        <v>8</v>
      </c>
      <c r="L4" s="6">
        <v>5</v>
      </c>
      <c r="M4" s="6" t="s">
        <v>56</v>
      </c>
      <c r="N4" s="6">
        <v>14</v>
      </c>
      <c r="O4" s="6">
        <v>5</v>
      </c>
      <c r="P4" s="8">
        <v>1</v>
      </c>
      <c r="Q4" s="6">
        <v>98</v>
      </c>
      <c r="R4" s="6">
        <v>89</v>
      </c>
    </row>
    <row r="5" spans="1:18" s="6" customFormat="1" ht="13.5" x14ac:dyDescent="0.25">
      <c r="A5" s="6">
        <v>1</v>
      </c>
      <c r="B5" s="5" t="s">
        <v>33</v>
      </c>
      <c r="C5" s="6">
        <v>4</v>
      </c>
      <c r="D5" s="6">
        <v>20</v>
      </c>
      <c r="E5" s="6" t="s">
        <v>80</v>
      </c>
      <c r="F5" s="6" t="s">
        <v>23</v>
      </c>
      <c r="G5" s="6" t="s">
        <v>81</v>
      </c>
      <c r="H5" s="6" t="s">
        <v>28</v>
      </c>
      <c r="I5" s="6">
        <v>16</v>
      </c>
      <c r="J5" s="6">
        <v>10</v>
      </c>
      <c r="K5" s="6">
        <v>6</v>
      </c>
      <c r="L5" s="6">
        <v>0.5</v>
      </c>
      <c r="M5" s="6" t="s">
        <v>56</v>
      </c>
      <c r="N5" s="6">
        <v>7</v>
      </c>
      <c r="O5" s="6">
        <v>4</v>
      </c>
      <c r="P5" s="8">
        <v>1</v>
      </c>
      <c r="Q5" s="6">
        <v>88</v>
      </c>
      <c r="R5" s="6">
        <v>85</v>
      </c>
    </row>
    <row r="6" spans="1:18" s="6" customFormat="1" ht="13.5" x14ac:dyDescent="0.25">
      <c r="A6" s="6">
        <v>1</v>
      </c>
      <c r="B6" s="5" t="s">
        <v>33</v>
      </c>
      <c r="C6" s="6">
        <v>4</v>
      </c>
      <c r="D6" s="6">
        <v>21</v>
      </c>
      <c r="E6" s="6" t="s">
        <v>80</v>
      </c>
      <c r="F6" s="6" t="s">
        <v>23</v>
      </c>
      <c r="G6" s="6" t="s">
        <v>81</v>
      </c>
      <c r="H6" s="6" t="s">
        <v>24</v>
      </c>
      <c r="I6" s="6">
        <v>20</v>
      </c>
      <c r="J6" s="6">
        <v>9</v>
      </c>
      <c r="K6" s="6">
        <v>4</v>
      </c>
      <c r="L6" s="6">
        <v>0.5</v>
      </c>
      <c r="M6" s="6" t="s">
        <v>56</v>
      </c>
      <c r="N6" s="6">
        <v>20</v>
      </c>
      <c r="O6" s="6">
        <v>4</v>
      </c>
      <c r="P6" s="8">
        <v>1</v>
      </c>
      <c r="Q6" s="6">
        <v>105</v>
      </c>
      <c r="R6" s="6">
        <v>70</v>
      </c>
    </row>
    <row r="7" spans="1:18" s="6" customFormat="1" ht="13.5" x14ac:dyDescent="0.25">
      <c r="A7" s="6">
        <v>1</v>
      </c>
      <c r="B7" s="5" t="s">
        <v>33</v>
      </c>
      <c r="C7" s="6">
        <v>4</v>
      </c>
      <c r="D7" s="6">
        <v>23</v>
      </c>
      <c r="E7" s="6" t="s">
        <v>80</v>
      </c>
      <c r="F7" s="6" t="s">
        <v>23</v>
      </c>
      <c r="G7" s="6" t="s">
        <v>81</v>
      </c>
      <c r="H7" s="6" t="s">
        <v>28</v>
      </c>
      <c r="I7" s="6">
        <v>17</v>
      </c>
      <c r="J7" s="6">
        <v>13</v>
      </c>
      <c r="K7" s="6">
        <v>4</v>
      </c>
      <c r="L7" s="6">
        <v>1.5</v>
      </c>
      <c r="M7" s="6" t="s">
        <v>56</v>
      </c>
      <c r="N7" s="6">
        <v>9</v>
      </c>
      <c r="O7" s="6">
        <v>4</v>
      </c>
      <c r="P7" s="8">
        <v>1</v>
      </c>
      <c r="Q7" s="6">
        <v>72</v>
      </c>
      <c r="R7" s="6">
        <v>95</v>
      </c>
    </row>
    <row r="8" spans="1:18" s="6" customFormat="1" ht="13.5" x14ac:dyDescent="0.25">
      <c r="A8" s="6">
        <v>1</v>
      </c>
      <c r="B8" s="5" t="s">
        <v>33</v>
      </c>
      <c r="C8" s="6">
        <v>5</v>
      </c>
      <c r="D8" s="6">
        <v>11</v>
      </c>
      <c r="E8" s="6" t="s">
        <v>84</v>
      </c>
      <c r="F8" s="6" t="s">
        <v>23</v>
      </c>
      <c r="G8" s="6" t="s">
        <v>81</v>
      </c>
      <c r="H8" s="6" t="s">
        <v>28</v>
      </c>
      <c r="I8" s="6">
        <v>19</v>
      </c>
      <c r="J8" s="6">
        <v>13</v>
      </c>
      <c r="K8" s="6">
        <v>5</v>
      </c>
      <c r="L8" s="6">
        <v>1.5</v>
      </c>
      <c r="M8" s="6" t="s">
        <v>65</v>
      </c>
      <c r="N8" s="6">
        <v>9</v>
      </c>
      <c r="O8" s="6">
        <v>3</v>
      </c>
      <c r="P8" s="8">
        <v>0</v>
      </c>
      <c r="Q8" s="6">
        <v>128</v>
      </c>
      <c r="R8" s="6">
        <v>52</v>
      </c>
    </row>
    <row r="9" spans="1:18" s="6" customFormat="1" ht="13.5" x14ac:dyDescent="0.25">
      <c r="A9" s="6">
        <v>1</v>
      </c>
      <c r="B9" s="5" t="s">
        <v>33</v>
      </c>
      <c r="C9" s="6">
        <v>5</v>
      </c>
      <c r="D9" s="6">
        <v>14</v>
      </c>
      <c r="E9" s="6" t="s">
        <v>80</v>
      </c>
      <c r="F9" s="6" t="s">
        <v>23</v>
      </c>
      <c r="G9" s="6" t="s">
        <v>81</v>
      </c>
      <c r="H9" s="6" t="s">
        <v>28</v>
      </c>
      <c r="I9" s="6">
        <v>16</v>
      </c>
      <c r="J9" s="6">
        <v>13</v>
      </c>
      <c r="K9" s="6">
        <v>4</v>
      </c>
      <c r="L9" s="6">
        <v>1</v>
      </c>
      <c r="M9" s="6" t="s">
        <v>65</v>
      </c>
      <c r="N9" s="6">
        <v>6</v>
      </c>
      <c r="O9" s="6">
        <v>2</v>
      </c>
      <c r="P9" s="8">
        <v>0</v>
      </c>
      <c r="Q9" s="6">
        <v>91</v>
      </c>
      <c r="R9" s="6">
        <v>89</v>
      </c>
    </row>
    <row r="10" spans="1:18" s="6" customFormat="1" ht="13.5" x14ac:dyDescent="0.25">
      <c r="A10" s="6">
        <v>1</v>
      </c>
      <c r="B10" s="17" t="s">
        <v>33</v>
      </c>
      <c r="C10" s="6">
        <v>6</v>
      </c>
      <c r="D10" s="6" t="s">
        <v>34</v>
      </c>
      <c r="E10" s="6" t="s">
        <v>80</v>
      </c>
      <c r="F10" s="6" t="s">
        <v>23</v>
      </c>
      <c r="G10" s="6" t="s">
        <v>81</v>
      </c>
      <c r="H10" s="6" t="s">
        <v>24</v>
      </c>
      <c r="I10" s="6">
        <v>37</v>
      </c>
      <c r="J10" s="6">
        <v>25</v>
      </c>
      <c r="K10" s="6">
        <v>10</v>
      </c>
      <c r="L10" s="6">
        <v>8</v>
      </c>
      <c r="M10" s="6" t="s">
        <v>56</v>
      </c>
      <c r="N10" s="6">
        <v>37</v>
      </c>
      <c r="O10" s="6">
        <v>15</v>
      </c>
      <c r="P10" s="8">
        <v>1</v>
      </c>
      <c r="Q10" s="6">
        <v>113</v>
      </c>
      <c r="R10" s="6">
        <v>50</v>
      </c>
    </row>
    <row r="11" spans="1:18" s="6" customFormat="1" ht="13.5" x14ac:dyDescent="0.25">
      <c r="A11" s="6">
        <v>1</v>
      </c>
      <c r="B11" s="5" t="s">
        <v>8</v>
      </c>
      <c r="C11" s="6">
        <v>20</v>
      </c>
      <c r="D11" s="6">
        <v>82</v>
      </c>
      <c r="E11" s="6" t="s">
        <v>80</v>
      </c>
      <c r="F11" s="6" t="s">
        <v>27</v>
      </c>
      <c r="G11" s="6" t="s">
        <v>81</v>
      </c>
      <c r="H11" s="6" t="s">
        <v>28</v>
      </c>
      <c r="I11" s="6">
        <v>28.42</v>
      </c>
      <c r="J11" s="6">
        <v>26.46</v>
      </c>
      <c r="K11" s="6">
        <v>6.28</v>
      </c>
      <c r="L11" s="6">
        <v>5.0999999999999996</v>
      </c>
      <c r="M11" s="6" t="s">
        <v>67</v>
      </c>
      <c r="N11" s="6">
        <v>17.079999999999998</v>
      </c>
      <c r="P11" s="8"/>
    </row>
    <row r="12" spans="1:18" s="6" customFormat="1" ht="13.5" x14ac:dyDescent="0.25">
      <c r="A12" s="6">
        <v>1</v>
      </c>
      <c r="B12" s="5" t="s">
        <v>8</v>
      </c>
      <c r="C12" s="6">
        <v>20</v>
      </c>
      <c r="D12" s="6">
        <v>83</v>
      </c>
      <c r="E12" s="6" t="s">
        <v>80</v>
      </c>
      <c r="F12" s="6" t="s">
        <v>23</v>
      </c>
      <c r="G12" s="6" t="s">
        <v>81</v>
      </c>
      <c r="H12" s="6" t="s">
        <v>28</v>
      </c>
      <c r="I12" s="6">
        <v>28.55</v>
      </c>
      <c r="J12" s="6">
        <v>15.86</v>
      </c>
      <c r="K12" s="6">
        <v>7.3</v>
      </c>
      <c r="L12" s="6">
        <v>4.2</v>
      </c>
      <c r="M12" s="6" t="s">
        <v>56</v>
      </c>
      <c r="N12" s="6">
        <v>23.16</v>
      </c>
      <c r="O12" s="6">
        <v>6.61</v>
      </c>
      <c r="P12" s="8">
        <v>1</v>
      </c>
      <c r="Q12" s="6">
        <v>105</v>
      </c>
      <c r="R12" s="6">
        <v>80</v>
      </c>
    </row>
    <row r="13" spans="1:18" s="6" customFormat="1" ht="13.5" x14ac:dyDescent="0.25">
      <c r="A13" s="4">
        <v>1</v>
      </c>
      <c r="B13" s="5" t="s">
        <v>8</v>
      </c>
      <c r="C13" s="6">
        <v>18</v>
      </c>
      <c r="D13" s="6">
        <v>56</v>
      </c>
      <c r="E13" s="6" t="s">
        <v>80</v>
      </c>
      <c r="F13" s="6" t="s">
        <v>27</v>
      </c>
      <c r="G13" s="6" t="s">
        <v>81</v>
      </c>
      <c r="H13" s="6" t="s">
        <v>28</v>
      </c>
      <c r="I13" s="6">
        <v>28.49</v>
      </c>
      <c r="J13" s="6">
        <v>23.4</v>
      </c>
      <c r="K13" s="6">
        <v>9.6</v>
      </c>
      <c r="L13" s="6">
        <v>7.3</v>
      </c>
      <c r="M13" s="6" t="s">
        <v>56</v>
      </c>
      <c r="N13" s="6">
        <v>22.74</v>
      </c>
      <c r="O13" s="6">
        <v>7.05</v>
      </c>
      <c r="P13" s="8">
        <v>1</v>
      </c>
      <c r="Q13" s="6">
        <v>102</v>
      </c>
      <c r="R13" s="6">
        <v>76</v>
      </c>
    </row>
    <row r="14" spans="1:18" s="6" customFormat="1" ht="13.5" x14ac:dyDescent="0.25">
      <c r="A14" s="4">
        <v>1</v>
      </c>
      <c r="B14" s="5" t="s">
        <v>8</v>
      </c>
      <c r="C14" s="6">
        <v>18</v>
      </c>
      <c r="D14" s="6" t="s">
        <v>85</v>
      </c>
      <c r="E14" s="6" t="s">
        <v>80</v>
      </c>
      <c r="F14" s="6" t="s">
        <v>23</v>
      </c>
      <c r="G14" s="6" t="s">
        <v>81</v>
      </c>
      <c r="H14" s="6" t="s">
        <v>24</v>
      </c>
      <c r="I14" s="6">
        <v>28.33</v>
      </c>
      <c r="J14" s="6">
        <v>19.600000000000001</v>
      </c>
      <c r="K14" s="6">
        <v>7.59</v>
      </c>
      <c r="L14" s="6">
        <v>4.5999999999999996</v>
      </c>
      <c r="M14" s="6" t="s">
        <v>86</v>
      </c>
      <c r="P14" s="8"/>
    </row>
    <row r="15" spans="1:18" s="6" customFormat="1" ht="13.5" x14ac:dyDescent="0.25">
      <c r="A15" s="4">
        <v>1</v>
      </c>
      <c r="B15" s="5" t="s">
        <v>8</v>
      </c>
      <c r="C15" s="6">
        <v>18</v>
      </c>
      <c r="D15" s="6">
        <v>4</v>
      </c>
      <c r="E15" s="6" t="s">
        <v>80</v>
      </c>
      <c r="F15" s="6" t="s">
        <v>23</v>
      </c>
      <c r="G15" s="6" t="s">
        <v>81</v>
      </c>
      <c r="H15" s="6" t="s">
        <v>24</v>
      </c>
      <c r="I15" s="6">
        <v>25.15</v>
      </c>
      <c r="J15" s="6">
        <v>22.64</v>
      </c>
      <c r="K15" s="6">
        <v>6.77</v>
      </c>
      <c r="L15" s="6">
        <v>4.2</v>
      </c>
      <c r="M15" s="6" t="s">
        <v>56</v>
      </c>
      <c r="N15" s="6">
        <v>7.05</v>
      </c>
      <c r="O15" s="6">
        <v>3.15</v>
      </c>
      <c r="P15" s="8">
        <v>1</v>
      </c>
      <c r="Q15" s="6">
        <v>108</v>
      </c>
      <c r="R15" s="6">
        <v>85</v>
      </c>
    </row>
    <row r="16" spans="1:18" s="6" customFormat="1" ht="13.5" x14ac:dyDescent="0.25">
      <c r="A16" s="4">
        <v>1</v>
      </c>
      <c r="B16" s="5" t="s">
        <v>8</v>
      </c>
      <c r="C16" s="6">
        <v>18</v>
      </c>
      <c r="D16" s="6">
        <v>12</v>
      </c>
      <c r="E16" s="6" t="s">
        <v>80</v>
      </c>
      <c r="F16" s="6" t="s">
        <v>23</v>
      </c>
      <c r="G16" s="6" t="s">
        <v>81</v>
      </c>
      <c r="H16" s="6" t="s">
        <v>24</v>
      </c>
      <c r="I16" s="6">
        <v>26.04</v>
      </c>
      <c r="J16" s="6">
        <v>18.61</v>
      </c>
      <c r="K16" s="6">
        <v>5.14</v>
      </c>
      <c r="L16" s="6">
        <v>2.7</v>
      </c>
      <c r="M16" s="6" t="s">
        <v>65</v>
      </c>
      <c r="N16" s="6">
        <v>8.93</v>
      </c>
      <c r="O16" s="6">
        <v>4.07</v>
      </c>
      <c r="P16" s="8">
        <v>0</v>
      </c>
      <c r="Q16" s="6">
        <v>114</v>
      </c>
      <c r="R16" s="6">
        <v>75</v>
      </c>
    </row>
    <row r="17" spans="1:18" s="6" customFormat="1" ht="13.5" x14ac:dyDescent="0.25">
      <c r="A17" s="4">
        <v>1</v>
      </c>
      <c r="B17" s="5" t="s">
        <v>8</v>
      </c>
      <c r="C17" s="6">
        <v>18</v>
      </c>
      <c r="D17" s="6">
        <v>19</v>
      </c>
      <c r="E17" s="6" t="s">
        <v>80</v>
      </c>
      <c r="F17" s="6" t="s">
        <v>23</v>
      </c>
      <c r="G17" s="6" t="s">
        <v>81</v>
      </c>
      <c r="H17" s="6" t="s">
        <v>24</v>
      </c>
      <c r="I17" s="6">
        <v>16.84</v>
      </c>
      <c r="J17" s="6">
        <v>12.54</v>
      </c>
      <c r="K17" s="6">
        <v>6.22</v>
      </c>
      <c r="L17" s="6">
        <v>1.3</v>
      </c>
      <c r="M17" s="6" t="s">
        <v>56</v>
      </c>
      <c r="N17" s="6">
        <v>7.86</v>
      </c>
      <c r="O17" s="6">
        <v>5.52</v>
      </c>
      <c r="P17" s="8">
        <v>1</v>
      </c>
      <c r="Q17" s="6">
        <v>86</v>
      </c>
      <c r="R17" s="6">
        <v>72</v>
      </c>
    </row>
    <row r="18" spans="1:18" s="6" customFormat="1" ht="13.5" x14ac:dyDescent="0.25">
      <c r="A18" s="4">
        <v>1</v>
      </c>
      <c r="B18" s="5" t="s">
        <v>8</v>
      </c>
      <c r="C18" s="6">
        <v>18</v>
      </c>
      <c r="D18" s="6">
        <v>72</v>
      </c>
      <c r="E18" s="6" t="s">
        <v>80</v>
      </c>
      <c r="F18" s="6" t="s">
        <v>23</v>
      </c>
      <c r="G18" s="6" t="s">
        <v>81</v>
      </c>
      <c r="H18" s="6" t="s">
        <v>24</v>
      </c>
      <c r="I18" s="6">
        <v>24.93</v>
      </c>
      <c r="J18" s="6">
        <v>18.2</v>
      </c>
      <c r="K18" s="6">
        <v>6.62</v>
      </c>
      <c r="L18" s="6">
        <v>3.6</v>
      </c>
      <c r="M18" s="6" t="s">
        <v>56</v>
      </c>
      <c r="N18" s="6">
        <v>8.36</v>
      </c>
      <c r="O18" s="6">
        <v>3.76</v>
      </c>
      <c r="P18" s="8">
        <v>1</v>
      </c>
      <c r="Q18" s="6">
        <v>112</v>
      </c>
      <c r="R18" s="6">
        <v>58</v>
      </c>
    </row>
    <row r="19" spans="1:18" s="6" customFormat="1" ht="13.5" x14ac:dyDescent="0.25">
      <c r="A19" s="4">
        <v>1</v>
      </c>
      <c r="B19" s="5" t="s">
        <v>8</v>
      </c>
      <c r="C19" s="6">
        <v>18</v>
      </c>
      <c r="D19" s="6">
        <v>73</v>
      </c>
      <c r="E19" s="6" t="s">
        <v>80</v>
      </c>
      <c r="F19" s="6" t="s">
        <v>23</v>
      </c>
      <c r="G19" s="6" t="s">
        <v>81</v>
      </c>
      <c r="H19" s="6" t="s">
        <v>28</v>
      </c>
      <c r="I19" s="6">
        <v>25.16</v>
      </c>
      <c r="J19" s="6">
        <v>16.059999999999999</v>
      </c>
      <c r="K19" s="6">
        <v>9.19</v>
      </c>
      <c r="L19" s="6">
        <v>3.3</v>
      </c>
      <c r="M19" s="6" t="s">
        <v>65</v>
      </c>
      <c r="N19" s="6">
        <v>6.52</v>
      </c>
      <c r="O19" s="6">
        <v>6.24</v>
      </c>
      <c r="P19" s="8">
        <v>0</v>
      </c>
      <c r="Q19" s="6">
        <v>87</v>
      </c>
      <c r="R19" s="6">
        <v>102</v>
      </c>
    </row>
    <row r="20" spans="1:18" s="6" customFormat="1" ht="13.5" x14ac:dyDescent="0.25">
      <c r="A20" s="4">
        <v>1</v>
      </c>
      <c r="B20" s="5" t="s">
        <v>8</v>
      </c>
      <c r="C20" s="6">
        <v>18</v>
      </c>
      <c r="D20" s="6">
        <v>99</v>
      </c>
      <c r="E20" s="6" t="s">
        <v>80</v>
      </c>
      <c r="F20" s="6" t="s">
        <v>23</v>
      </c>
      <c r="G20" s="6" t="s">
        <v>81</v>
      </c>
      <c r="H20" s="6" t="s">
        <v>24</v>
      </c>
      <c r="I20" s="6">
        <v>28.59</v>
      </c>
      <c r="J20" s="6">
        <v>18.600000000000001</v>
      </c>
      <c r="K20" s="6">
        <v>10.31</v>
      </c>
      <c r="L20" s="6">
        <v>5.3</v>
      </c>
      <c r="M20" s="6" t="s">
        <v>65</v>
      </c>
      <c r="N20" s="6">
        <v>17.54</v>
      </c>
      <c r="O20" s="6">
        <v>9.69</v>
      </c>
      <c r="P20" s="8">
        <v>0</v>
      </c>
      <c r="Q20" s="6">
        <v>110</v>
      </c>
      <c r="R20" s="6">
        <v>70</v>
      </c>
    </row>
    <row r="21" spans="1:18" s="6" customFormat="1" ht="13.5" x14ac:dyDescent="0.25">
      <c r="A21" s="4">
        <v>1</v>
      </c>
      <c r="B21" s="5" t="s">
        <v>8</v>
      </c>
      <c r="C21" s="6">
        <v>18</v>
      </c>
      <c r="D21" s="6">
        <v>100</v>
      </c>
      <c r="E21" s="6" t="s">
        <v>80</v>
      </c>
      <c r="F21" s="6" t="s">
        <v>23</v>
      </c>
      <c r="G21" s="6" t="s">
        <v>81</v>
      </c>
      <c r="H21" s="6" t="s">
        <v>28</v>
      </c>
      <c r="I21" s="6">
        <v>18.7</v>
      </c>
      <c r="J21" s="6">
        <v>17.239999999999998</v>
      </c>
      <c r="K21" s="6">
        <v>6.37</v>
      </c>
      <c r="L21" s="6">
        <v>1.8</v>
      </c>
      <c r="M21" s="6" t="s">
        <v>56</v>
      </c>
      <c r="N21" s="6">
        <v>7.13</v>
      </c>
      <c r="O21" s="6">
        <v>5.69</v>
      </c>
      <c r="P21" s="8">
        <v>1</v>
      </c>
      <c r="Q21" s="6">
        <v>90</v>
      </c>
      <c r="R21" s="6">
        <v>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0D74-D57F-470D-8466-A65D1277DCDF}">
  <dimension ref="A1:L21"/>
  <sheetViews>
    <sheetView workbookViewId="0">
      <selection activeCell="E38" sqref="E38"/>
    </sheetView>
  </sheetViews>
  <sheetFormatPr defaultRowHeight="14.25" x14ac:dyDescent="0.2"/>
  <sheetData>
    <row r="1" spans="1:12" s="3" customFormat="1" ht="32.1" customHeight="1" x14ac:dyDescent="0.25">
      <c r="A1" s="13" t="s">
        <v>36</v>
      </c>
      <c r="B1" s="13" t="s">
        <v>1</v>
      </c>
      <c r="C1" s="14" t="s">
        <v>2</v>
      </c>
      <c r="D1" s="2" t="s">
        <v>37</v>
      </c>
      <c r="E1" s="2" t="s">
        <v>4</v>
      </c>
      <c r="F1" s="2" t="s">
        <v>5</v>
      </c>
      <c r="G1" s="2" t="s">
        <v>76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s="6" customFormat="1" ht="13.5" x14ac:dyDescent="0.25">
      <c r="A2" s="6">
        <v>1</v>
      </c>
      <c r="B2" s="5" t="s">
        <v>20</v>
      </c>
      <c r="C2" s="6">
        <v>3</v>
      </c>
      <c r="D2" s="6" t="s">
        <v>54</v>
      </c>
      <c r="E2" s="6" t="s">
        <v>87</v>
      </c>
      <c r="F2" s="6" t="s">
        <v>23</v>
      </c>
      <c r="G2" s="6" t="s">
        <v>88</v>
      </c>
      <c r="H2" s="6" t="s">
        <v>24</v>
      </c>
      <c r="I2" s="6">
        <v>36</v>
      </c>
      <c r="J2" s="6">
        <v>20</v>
      </c>
      <c r="K2" s="6">
        <v>5</v>
      </c>
      <c r="L2" s="6">
        <v>3</v>
      </c>
    </row>
    <row r="3" spans="1:12" s="6" customFormat="1" ht="13.5" x14ac:dyDescent="0.25">
      <c r="A3" s="6">
        <v>1</v>
      </c>
      <c r="B3" s="5" t="s">
        <v>20</v>
      </c>
      <c r="C3" s="6">
        <v>3</v>
      </c>
      <c r="D3" s="6" t="s">
        <v>89</v>
      </c>
      <c r="E3" s="6" t="s">
        <v>87</v>
      </c>
      <c r="F3" s="6" t="s">
        <v>23</v>
      </c>
      <c r="G3" s="6" t="s">
        <v>88</v>
      </c>
      <c r="H3" s="6" t="s">
        <v>24</v>
      </c>
      <c r="I3" s="6">
        <v>27</v>
      </c>
      <c r="J3" s="6">
        <v>18</v>
      </c>
      <c r="K3" s="6">
        <v>5</v>
      </c>
      <c r="L3" s="6">
        <v>2</v>
      </c>
    </row>
    <row r="4" spans="1:12" s="6" customFormat="1" ht="13.5" x14ac:dyDescent="0.25">
      <c r="A4" s="6">
        <v>1</v>
      </c>
      <c r="B4" s="5" t="s">
        <v>20</v>
      </c>
      <c r="C4" s="6">
        <v>5</v>
      </c>
      <c r="D4" s="6" t="s">
        <v>21</v>
      </c>
      <c r="E4" s="6" t="s">
        <v>87</v>
      </c>
      <c r="F4" s="6" t="s">
        <v>23</v>
      </c>
      <c r="G4" s="6" t="s">
        <v>88</v>
      </c>
      <c r="H4" s="6" t="s">
        <v>24</v>
      </c>
      <c r="I4" s="6">
        <v>30</v>
      </c>
      <c r="J4" s="6">
        <v>24</v>
      </c>
      <c r="K4" s="6">
        <v>8</v>
      </c>
      <c r="L4" s="6">
        <v>4</v>
      </c>
    </row>
    <row r="5" spans="1:12" s="6" customFormat="1" ht="13.5" x14ac:dyDescent="0.25">
      <c r="A5" s="6">
        <v>1</v>
      </c>
      <c r="B5" s="5" t="s">
        <v>20</v>
      </c>
      <c r="C5" s="6">
        <v>5</v>
      </c>
      <c r="D5" s="6" t="s">
        <v>90</v>
      </c>
      <c r="E5" s="6" t="s">
        <v>87</v>
      </c>
      <c r="F5" s="6" t="s">
        <v>23</v>
      </c>
      <c r="G5" s="6" t="s">
        <v>91</v>
      </c>
      <c r="H5" s="6" t="s">
        <v>24</v>
      </c>
      <c r="I5" s="6">
        <v>18.5</v>
      </c>
      <c r="J5" s="11">
        <v>13.1</v>
      </c>
      <c r="K5" s="11">
        <v>6.5</v>
      </c>
      <c r="L5" s="11">
        <v>1</v>
      </c>
    </row>
    <row r="6" spans="1:12" s="6" customFormat="1" ht="13.5" x14ac:dyDescent="0.25">
      <c r="A6" s="6">
        <v>1</v>
      </c>
      <c r="B6" s="5" t="s">
        <v>20</v>
      </c>
      <c r="C6" s="6">
        <v>5</v>
      </c>
      <c r="D6" s="6" t="s">
        <v>92</v>
      </c>
      <c r="E6" s="6" t="s">
        <v>87</v>
      </c>
      <c r="F6" s="6" t="s">
        <v>23</v>
      </c>
      <c r="G6" s="6" t="s">
        <v>88</v>
      </c>
      <c r="H6" s="6" t="s">
        <v>24</v>
      </c>
      <c r="I6" s="6">
        <v>15.1</v>
      </c>
      <c r="J6" s="11">
        <v>10</v>
      </c>
      <c r="K6" s="11">
        <v>5</v>
      </c>
      <c r="L6" s="11">
        <v>1</v>
      </c>
    </row>
    <row r="7" spans="1:12" s="6" customFormat="1" ht="13.5" x14ac:dyDescent="0.25">
      <c r="A7" s="6">
        <v>1</v>
      </c>
      <c r="B7" s="5" t="s">
        <v>20</v>
      </c>
      <c r="C7" s="6">
        <v>7</v>
      </c>
      <c r="D7" s="6" t="s">
        <v>93</v>
      </c>
      <c r="E7" s="6" t="s">
        <v>87</v>
      </c>
      <c r="F7" s="6" t="s">
        <v>23</v>
      </c>
      <c r="G7" s="6" t="s">
        <v>88</v>
      </c>
      <c r="H7" s="6" t="s">
        <v>24</v>
      </c>
      <c r="I7" s="6">
        <v>37</v>
      </c>
      <c r="J7" s="11">
        <v>21</v>
      </c>
      <c r="K7" s="11">
        <v>11</v>
      </c>
      <c r="L7" s="11">
        <v>8</v>
      </c>
    </row>
    <row r="8" spans="1:12" s="6" customFormat="1" ht="13.5" x14ac:dyDescent="0.25">
      <c r="A8" s="6">
        <v>1</v>
      </c>
      <c r="B8" s="5" t="s">
        <v>20</v>
      </c>
      <c r="C8" s="6">
        <v>7</v>
      </c>
      <c r="D8" s="6" t="s">
        <v>89</v>
      </c>
      <c r="E8" s="6" t="s">
        <v>87</v>
      </c>
      <c r="F8" s="6" t="s">
        <v>23</v>
      </c>
      <c r="G8" s="6" t="s">
        <v>88</v>
      </c>
      <c r="H8" s="6" t="s">
        <v>24</v>
      </c>
      <c r="I8" s="6">
        <v>14</v>
      </c>
      <c r="J8" s="11">
        <v>8</v>
      </c>
      <c r="K8" s="11">
        <v>1.7</v>
      </c>
      <c r="L8" s="11">
        <v>0.3</v>
      </c>
    </row>
    <row r="9" spans="1:12" s="6" customFormat="1" ht="13.5" x14ac:dyDescent="0.25">
      <c r="A9" s="6">
        <v>1</v>
      </c>
      <c r="B9" s="5" t="s">
        <v>20</v>
      </c>
      <c r="C9" s="6">
        <v>8</v>
      </c>
      <c r="D9" s="6" t="s">
        <v>94</v>
      </c>
      <c r="E9" s="6" t="s">
        <v>87</v>
      </c>
      <c r="F9" s="6" t="s">
        <v>23</v>
      </c>
      <c r="G9" s="6" t="s">
        <v>88</v>
      </c>
      <c r="H9" s="6" t="s">
        <v>71</v>
      </c>
      <c r="I9" s="6">
        <v>23</v>
      </c>
      <c r="J9" s="6">
        <v>15</v>
      </c>
      <c r="K9" s="6">
        <v>6</v>
      </c>
      <c r="L9" s="6">
        <v>2</v>
      </c>
    </row>
    <row r="10" spans="1:12" s="6" customFormat="1" ht="13.5" x14ac:dyDescent="0.25">
      <c r="A10" s="6">
        <v>1</v>
      </c>
      <c r="B10" s="5" t="s">
        <v>33</v>
      </c>
      <c r="C10" s="6">
        <v>4</v>
      </c>
      <c r="D10" s="6">
        <v>24</v>
      </c>
      <c r="E10" s="6" t="s">
        <v>95</v>
      </c>
      <c r="F10" s="6" t="s">
        <v>23</v>
      </c>
      <c r="G10" s="6" t="s">
        <v>88</v>
      </c>
      <c r="H10" s="6" t="s">
        <v>24</v>
      </c>
      <c r="I10" s="6">
        <v>26</v>
      </c>
      <c r="J10" s="6">
        <v>15</v>
      </c>
      <c r="K10" s="6">
        <v>3</v>
      </c>
      <c r="L10" s="6">
        <v>1</v>
      </c>
    </row>
    <row r="11" spans="1:12" s="6" customFormat="1" ht="13.5" x14ac:dyDescent="0.25">
      <c r="A11" s="6">
        <v>1</v>
      </c>
      <c r="B11" s="5" t="s">
        <v>33</v>
      </c>
      <c r="C11" s="6">
        <v>5</v>
      </c>
      <c r="D11" s="6">
        <v>13</v>
      </c>
      <c r="E11" s="6" t="s">
        <v>87</v>
      </c>
      <c r="F11" s="6" t="s">
        <v>23</v>
      </c>
      <c r="G11" s="6" t="s">
        <v>91</v>
      </c>
      <c r="H11" s="6" t="s">
        <v>28</v>
      </c>
      <c r="I11" s="6">
        <v>11</v>
      </c>
      <c r="J11" s="6">
        <v>10</v>
      </c>
      <c r="K11" s="6">
        <v>2</v>
      </c>
      <c r="L11" s="6">
        <v>1</v>
      </c>
    </row>
    <row r="12" spans="1:12" s="6" customFormat="1" ht="13.5" x14ac:dyDescent="0.25">
      <c r="A12" s="6">
        <v>1</v>
      </c>
      <c r="B12" s="5" t="s">
        <v>33</v>
      </c>
      <c r="C12" s="6">
        <v>5</v>
      </c>
      <c r="D12" s="6">
        <v>15</v>
      </c>
      <c r="E12" s="6" t="s">
        <v>87</v>
      </c>
      <c r="F12" s="6" t="s">
        <v>23</v>
      </c>
      <c r="G12" s="6" t="s">
        <v>91</v>
      </c>
      <c r="H12" s="6" t="s">
        <v>29</v>
      </c>
      <c r="I12" s="6">
        <v>14</v>
      </c>
      <c r="J12" s="6">
        <v>8</v>
      </c>
      <c r="K12" s="6">
        <v>3</v>
      </c>
      <c r="L12" s="6">
        <v>0.3</v>
      </c>
    </row>
    <row r="13" spans="1:12" s="6" customFormat="1" ht="13.5" x14ac:dyDescent="0.25">
      <c r="A13" s="6">
        <v>1</v>
      </c>
      <c r="B13" s="5" t="s">
        <v>33</v>
      </c>
      <c r="C13" s="6">
        <v>5</v>
      </c>
      <c r="D13" s="6">
        <v>16</v>
      </c>
      <c r="E13" s="6" t="s">
        <v>87</v>
      </c>
      <c r="F13" s="6" t="s">
        <v>23</v>
      </c>
      <c r="G13" s="6" t="s">
        <v>91</v>
      </c>
      <c r="H13" s="6" t="s">
        <v>29</v>
      </c>
      <c r="I13" s="6">
        <v>15</v>
      </c>
      <c r="J13" s="6">
        <v>10</v>
      </c>
      <c r="K13" s="6">
        <v>3</v>
      </c>
      <c r="L13" s="6">
        <v>0.4</v>
      </c>
    </row>
    <row r="14" spans="1:12" s="6" customFormat="1" ht="13.5" x14ac:dyDescent="0.25">
      <c r="A14" s="6">
        <v>1</v>
      </c>
      <c r="B14" s="5" t="s">
        <v>33</v>
      </c>
      <c r="C14" s="6">
        <v>5</v>
      </c>
      <c r="D14" s="6">
        <v>44</v>
      </c>
      <c r="E14" s="6" t="s">
        <v>87</v>
      </c>
      <c r="F14" s="6" t="s">
        <v>23</v>
      </c>
      <c r="G14" s="6" t="s">
        <v>88</v>
      </c>
      <c r="H14" s="6" t="s">
        <v>24</v>
      </c>
      <c r="I14" s="6">
        <v>38</v>
      </c>
      <c r="J14" s="6">
        <v>25</v>
      </c>
      <c r="K14" s="6">
        <v>11</v>
      </c>
      <c r="L14" s="6">
        <v>10.5</v>
      </c>
    </row>
    <row r="15" spans="1:12" s="6" customFormat="1" ht="13.5" x14ac:dyDescent="0.25">
      <c r="A15" s="6">
        <v>1</v>
      </c>
      <c r="B15" s="5" t="s">
        <v>33</v>
      </c>
      <c r="C15" s="6">
        <v>6</v>
      </c>
      <c r="D15" s="6">
        <v>3</v>
      </c>
      <c r="E15" s="6" t="s">
        <v>87</v>
      </c>
      <c r="F15" s="6" t="s">
        <v>23</v>
      </c>
      <c r="G15" s="6" t="s">
        <v>88</v>
      </c>
      <c r="H15" s="6" t="s">
        <v>24</v>
      </c>
      <c r="I15" s="6">
        <v>21</v>
      </c>
      <c r="J15" s="6">
        <v>8</v>
      </c>
      <c r="K15" s="6">
        <v>6</v>
      </c>
      <c r="L15" s="6">
        <v>1</v>
      </c>
    </row>
    <row r="16" spans="1:12" s="6" customFormat="1" ht="13.5" x14ac:dyDescent="0.25">
      <c r="A16" s="6">
        <v>1</v>
      </c>
      <c r="B16" s="5" t="s">
        <v>8</v>
      </c>
      <c r="C16" s="6">
        <v>23</v>
      </c>
      <c r="D16" s="6">
        <v>1</v>
      </c>
      <c r="E16" s="6" t="s">
        <v>87</v>
      </c>
      <c r="F16" s="6" t="s">
        <v>23</v>
      </c>
      <c r="G16" s="6" t="s">
        <v>91</v>
      </c>
      <c r="H16" s="6" t="s">
        <v>28</v>
      </c>
      <c r="I16" s="6">
        <v>32</v>
      </c>
      <c r="J16" s="6">
        <v>24</v>
      </c>
      <c r="K16" s="6">
        <v>5</v>
      </c>
      <c r="L16" s="6">
        <v>2.5</v>
      </c>
    </row>
    <row r="17" spans="1:12" s="6" customFormat="1" ht="13.5" x14ac:dyDescent="0.25">
      <c r="A17" s="6">
        <v>1</v>
      </c>
      <c r="B17" s="5" t="s">
        <v>8</v>
      </c>
      <c r="C17" s="6">
        <v>21</v>
      </c>
      <c r="D17" s="6">
        <v>2</v>
      </c>
      <c r="E17" s="6" t="s">
        <v>87</v>
      </c>
      <c r="F17" s="6" t="s">
        <v>23</v>
      </c>
      <c r="G17" s="6" t="s">
        <v>88</v>
      </c>
      <c r="H17" s="6" t="s">
        <v>24</v>
      </c>
      <c r="I17" s="6">
        <v>24</v>
      </c>
      <c r="J17" s="6">
        <v>12</v>
      </c>
      <c r="K17" s="6">
        <v>8</v>
      </c>
      <c r="L17" s="6">
        <v>2.5</v>
      </c>
    </row>
    <row r="18" spans="1:12" s="6" customFormat="1" ht="13.5" x14ac:dyDescent="0.25">
      <c r="A18" s="6">
        <v>1</v>
      </c>
      <c r="B18" s="5" t="s">
        <v>8</v>
      </c>
      <c r="C18" s="6">
        <v>21</v>
      </c>
      <c r="D18" s="6">
        <v>3</v>
      </c>
      <c r="E18" s="6" t="s">
        <v>87</v>
      </c>
      <c r="F18" s="6" t="s">
        <v>23</v>
      </c>
      <c r="G18" s="6" t="s">
        <v>88</v>
      </c>
      <c r="H18" s="6" t="s">
        <v>24</v>
      </c>
      <c r="I18" s="6">
        <v>18</v>
      </c>
      <c r="J18" s="6">
        <v>15</v>
      </c>
      <c r="K18" s="6">
        <v>4</v>
      </c>
      <c r="L18" s="6">
        <v>1</v>
      </c>
    </row>
    <row r="19" spans="1:12" s="6" customFormat="1" ht="13.5" x14ac:dyDescent="0.25">
      <c r="A19" s="6">
        <v>1</v>
      </c>
      <c r="B19" s="5" t="s">
        <v>8</v>
      </c>
      <c r="C19" s="6">
        <v>20</v>
      </c>
      <c r="D19" s="6">
        <v>88</v>
      </c>
      <c r="E19" s="6" t="s">
        <v>87</v>
      </c>
      <c r="F19" s="6" t="s">
        <v>27</v>
      </c>
      <c r="G19" s="6" t="s">
        <v>91</v>
      </c>
      <c r="H19" s="6" t="s">
        <v>29</v>
      </c>
      <c r="I19" s="6">
        <v>11.28</v>
      </c>
      <c r="J19" s="6">
        <v>10.49</v>
      </c>
      <c r="K19" s="6">
        <v>3.37</v>
      </c>
      <c r="L19" s="6">
        <v>0.3</v>
      </c>
    </row>
    <row r="20" spans="1:12" s="6" customFormat="1" ht="13.5" x14ac:dyDescent="0.25">
      <c r="A20" s="6">
        <v>1</v>
      </c>
      <c r="B20" s="5" t="s">
        <v>8</v>
      </c>
      <c r="C20" s="6">
        <v>20</v>
      </c>
      <c r="D20" s="6">
        <v>89</v>
      </c>
      <c r="E20" s="6" t="s">
        <v>87</v>
      </c>
      <c r="F20" s="6" t="s">
        <v>27</v>
      </c>
      <c r="G20" s="6" t="s">
        <v>88</v>
      </c>
      <c r="H20" s="6" t="s">
        <v>29</v>
      </c>
      <c r="I20" s="6">
        <v>17.649999999999999</v>
      </c>
      <c r="J20" s="6">
        <v>12.77</v>
      </c>
      <c r="K20" s="6">
        <v>6.85</v>
      </c>
      <c r="L20" s="6">
        <v>1.2</v>
      </c>
    </row>
    <row r="21" spans="1:12" s="11" customFormat="1" ht="13.5" x14ac:dyDescent="0.25">
      <c r="A21" s="6">
        <v>1</v>
      </c>
      <c r="B21" s="3" t="s">
        <v>8</v>
      </c>
      <c r="C21" s="11">
        <v>20</v>
      </c>
      <c r="D21" s="11" t="s">
        <v>96</v>
      </c>
      <c r="E21" s="6" t="s">
        <v>87</v>
      </c>
      <c r="F21" s="11" t="s">
        <v>23</v>
      </c>
      <c r="G21" s="11" t="s">
        <v>88</v>
      </c>
      <c r="H21" s="11" t="s">
        <v>24</v>
      </c>
      <c r="I21" s="6">
        <v>58</v>
      </c>
      <c r="J21" s="6">
        <v>22</v>
      </c>
      <c r="K21" s="6">
        <v>11</v>
      </c>
      <c r="L21" s="11">
        <v>15.5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4088-B2EE-445B-B781-81EA1D7411D0}">
  <dimension ref="A1:M21"/>
  <sheetViews>
    <sheetView workbookViewId="0">
      <selection activeCell="J37" sqref="J37"/>
    </sheetView>
  </sheetViews>
  <sheetFormatPr defaultRowHeight="14.25" x14ac:dyDescent="0.2"/>
  <sheetData>
    <row r="1" spans="1:13" s="3" customFormat="1" ht="27.6" customHeight="1" x14ac:dyDescent="0.25">
      <c r="A1" s="13" t="s">
        <v>36</v>
      </c>
      <c r="B1" s="13" t="s">
        <v>1</v>
      </c>
      <c r="C1" s="14" t="s">
        <v>2</v>
      </c>
      <c r="D1" s="2" t="s">
        <v>37</v>
      </c>
      <c r="E1" s="2" t="s">
        <v>4</v>
      </c>
      <c r="F1" s="2" t="s">
        <v>5</v>
      </c>
      <c r="G1" s="2" t="s">
        <v>76</v>
      </c>
      <c r="H1" s="2" t="s">
        <v>6</v>
      </c>
      <c r="I1" s="2" t="s">
        <v>77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s="6" customFormat="1" ht="13.5" x14ac:dyDescent="0.25">
      <c r="A2" s="6">
        <v>1</v>
      </c>
      <c r="B2" s="5" t="s">
        <v>20</v>
      </c>
      <c r="C2" s="6">
        <v>5</v>
      </c>
      <c r="D2" s="6" t="s">
        <v>74</v>
      </c>
      <c r="E2" s="6" t="s">
        <v>97</v>
      </c>
      <c r="F2" s="6" t="s">
        <v>23</v>
      </c>
      <c r="G2" s="6" t="s">
        <v>98</v>
      </c>
      <c r="H2" s="6" t="s">
        <v>24</v>
      </c>
      <c r="I2" s="11" t="s">
        <v>56</v>
      </c>
      <c r="J2" s="6">
        <v>17</v>
      </c>
      <c r="K2" s="11">
        <v>13.2</v>
      </c>
      <c r="L2" s="11">
        <v>5</v>
      </c>
      <c r="M2" s="11">
        <v>0.6</v>
      </c>
    </row>
    <row r="3" spans="1:13" s="6" customFormat="1" ht="13.5" x14ac:dyDescent="0.25">
      <c r="A3" s="6">
        <v>1</v>
      </c>
      <c r="B3" s="5" t="s">
        <v>20</v>
      </c>
      <c r="C3" s="6">
        <v>6</v>
      </c>
      <c r="D3" s="6" t="s">
        <v>26</v>
      </c>
      <c r="E3" s="6" t="s">
        <v>97</v>
      </c>
      <c r="F3" s="6" t="s">
        <v>23</v>
      </c>
      <c r="G3" s="6" t="s">
        <v>98</v>
      </c>
      <c r="H3" s="6" t="s">
        <v>24</v>
      </c>
      <c r="J3" s="6">
        <v>32</v>
      </c>
      <c r="K3" s="6">
        <v>16</v>
      </c>
      <c r="L3" s="6">
        <v>2</v>
      </c>
      <c r="M3" s="6">
        <v>3.5</v>
      </c>
    </row>
    <row r="4" spans="1:13" s="6" customFormat="1" ht="13.5" x14ac:dyDescent="0.25">
      <c r="A4" s="6">
        <v>1</v>
      </c>
      <c r="B4" s="5" t="s">
        <v>20</v>
      </c>
      <c r="C4" s="6">
        <v>6</v>
      </c>
      <c r="D4" s="6" t="s">
        <v>30</v>
      </c>
      <c r="E4" s="6" t="s">
        <v>97</v>
      </c>
      <c r="F4" s="6" t="s">
        <v>23</v>
      </c>
      <c r="G4" s="6" t="s">
        <v>99</v>
      </c>
      <c r="H4" s="6" t="s">
        <v>24</v>
      </c>
      <c r="J4" s="6">
        <v>58</v>
      </c>
      <c r="K4" s="6">
        <v>32</v>
      </c>
      <c r="L4" s="6">
        <v>16</v>
      </c>
      <c r="M4" s="6">
        <v>34.5</v>
      </c>
    </row>
    <row r="5" spans="1:13" s="6" customFormat="1" ht="13.5" x14ac:dyDescent="0.25">
      <c r="A5" s="6">
        <v>1</v>
      </c>
      <c r="B5" s="5" t="s">
        <v>20</v>
      </c>
      <c r="C5" s="6">
        <v>7</v>
      </c>
      <c r="D5" s="6" t="s">
        <v>54</v>
      </c>
      <c r="E5" s="6" t="s">
        <v>97</v>
      </c>
      <c r="F5" s="6" t="s">
        <v>23</v>
      </c>
      <c r="G5" s="6" t="s">
        <v>99</v>
      </c>
      <c r="H5" s="6" t="s">
        <v>24</v>
      </c>
      <c r="I5" s="11" t="s">
        <v>65</v>
      </c>
      <c r="J5" s="6">
        <v>23.3</v>
      </c>
      <c r="K5" s="11">
        <v>10</v>
      </c>
      <c r="L5" s="11">
        <v>3.8</v>
      </c>
      <c r="M5" s="11">
        <v>1</v>
      </c>
    </row>
    <row r="6" spans="1:13" s="6" customFormat="1" ht="13.5" x14ac:dyDescent="0.25">
      <c r="A6" s="6">
        <v>1</v>
      </c>
      <c r="B6" s="5" t="s">
        <v>20</v>
      </c>
      <c r="C6" s="6">
        <v>7</v>
      </c>
      <c r="D6" s="6" t="s">
        <v>100</v>
      </c>
      <c r="E6" s="6" t="s">
        <v>97</v>
      </c>
      <c r="F6" s="6" t="s">
        <v>23</v>
      </c>
      <c r="G6" s="6" t="s">
        <v>98</v>
      </c>
      <c r="H6" s="6" t="s">
        <v>24</v>
      </c>
      <c r="I6" s="11" t="s">
        <v>56</v>
      </c>
      <c r="J6" s="6">
        <v>25</v>
      </c>
      <c r="K6" s="6">
        <v>23</v>
      </c>
      <c r="L6" s="6">
        <v>9</v>
      </c>
      <c r="M6" s="6">
        <v>3</v>
      </c>
    </row>
    <row r="7" spans="1:13" s="6" customFormat="1" ht="13.5" x14ac:dyDescent="0.25">
      <c r="A7" s="6">
        <v>1</v>
      </c>
      <c r="B7" s="5" t="s">
        <v>20</v>
      </c>
      <c r="C7" s="6">
        <v>7</v>
      </c>
      <c r="D7" s="6" t="s">
        <v>101</v>
      </c>
      <c r="E7" s="6" t="s">
        <v>97</v>
      </c>
      <c r="F7" s="6" t="s">
        <v>23</v>
      </c>
      <c r="G7" s="6" t="s">
        <v>98</v>
      </c>
      <c r="H7" s="6" t="s">
        <v>24</v>
      </c>
      <c r="I7" s="11" t="s">
        <v>56</v>
      </c>
      <c r="J7" s="6">
        <v>18</v>
      </c>
      <c r="K7" s="6">
        <v>15</v>
      </c>
      <c r="L7" s="6">
        <v>5</v>
      </c>
      <c r="M7" s="6">
        <v>2</v>
      </c>
    </row>
    <row r="8" spans="1:13" s="6" customFormat="1" ht="13.5" x14ac:dyDescent="0.25">
      <c r="A8" s="6">
        <v>1</v>
      </c>
      <c r="B8" s="5" t="s">
        <v>33</v>
      </c>
      <c r="C8" s="6">
        <v>4</v>
      </c>
      <c r="D8" s="6" t="s">
        <v>102</v>
      </c>
      <c r="E8" s="6" t="s">
        <v>97</v>
      </c>
      <c r="F8" s="6" t="s">
        <v>23</v>
      </c>
      <c r="G8" s="6" t="s">
        <v>99</v>
      </c>
      <c r="H8" s="6" t="s">
        <v>71</v>
      </c>
      <c r="J8" s="6">
        <v>31</v>
      </c>
      <c r="K8" s="6">
        <v>23</v>
      </c>
      <c r="L8" s="6">
        <v>8</v>
      </c>
      <c r="M8" s="6">
        <v>4.5</v>
      </c>
    </row>
    <row r="9" spans="1:13" s="6" customFormat="1" ht="13.5" x14ac:dyDescent="0.25">
      <c r="A9" s="6">
        <v>1</v>
      </c>
      <c r="B9" s="5" t="s">
        <v>33</v>
      </c>
      <c r="C9" s="6">
        <v>4</v>
      </c>
      <c r="D9" s="6">
        <v>22</v>
      </c>
      <c r="E9" s="6" t="s">
        <v>97</v>
      </c>
      <c r="F9" s="6" t="s">
        <v>23</v>
      </c>
      <c r="G9" s="6" t="s">
        <v>98</v>
      </c>
      <c r="H9" s="6" t="s">
        <v>35</v>
      </c>
      <c r="J9" s="6">
        <v>19</v>
      </c>
      <c r="K9" s="6">
        <v>14</v>
      </c>
      <c r="L9" s="6">
        <v>4</v>
      </c>
      <c r="M9" s="6">
        <v>1.5</v>
      </c>
    </row>
    <row r="10" spans="1:13" s="6" customFormat="1" ht="13.5" x14ac:dyDescent="0.25">
      <c r="A10" s="6">
        <v>1</v>
      </c>
      <c r="B10" s="5" t="s">
        <v>33</v>
      </c>
      <c r="C10" s="6">
        <v>5</v>
      </c>
      <c r="D10" s="6">
        <v>12</v>
      </c>
      <c r="E10" s="6" t="s">
        <v>97</v>
      </c>
      <c r="F10" s="6" t="s">
        <v>23</v>
      </c>
      <c r="G10" s="6" t="s">
        <v>98</v>
      </c>
      <c r="H10" s="6" t="s">
        <v>28</v>
      </c>
      <c r="J10" s="6">
        <v>15</v>
      </c>
      <c r="K10" s="6">
        <v>10</v>
      </c>
      <c r="L10" s="6">
        <v>5</v>
      </c>
      <c r="M10" s="6">
        <v>1</v>
      </c>
    </row>
    <row r="11" spans="1:13" s="6" customFormat="1" ht="13.5" x14ac:dyDescent="0.25">
      <c r="A11" s="6">
        <v>1</v>
      </c>
      <c r="B11" s="5" t="s">
        <v>8</v>
      </c>
      <c r="C11" s="6">
        <v>23</v>
      </c>
      <c r="D11" s="6" t="s">
        <v>103</v>
      </c>
      <c r="E11" s="6" t="s">
        <v>97</v>
      </c>
      <c r="F11" s="6" t="s">
        <v>23</v>
      </c>
      <c r="G11" s="6" t="s">
        <v>99</v>
      </c>
      <c r="H11" s="6" t="s">
        <v>24</v>
      </c>
      <c r="J11" s="6">
        <v>56</v>
      </c>
      <c r="K11" s="6">
        <v>27</v>
      </c>
      <c r="L11" s="6">
        <v>23</v>
      </c>
      <c r="M11" s="6">
        <v>29.5</v>
      </c>
    </row>
    <row r="12" spans="1:13" s="6" customFormat="1" ht="13.5" x14ac:dyDescent="0.25">
      <c r="A12" s="6">
        <v>1</v>
      </c>
      <c r="B12" s="5" t="s">
        <v>8</v>
      </c>
      <c r="C12" s="6">
        <v>23</v>
      </c>
      <c r="D12" s="6" t="s">
        <v>104</v>
      </c>
      <c r="E12" s="6" t="s">
        <v>97</v>
      </c>
      <c r="F12" s="6" t="s">
        <v>23</v>
      </c>
      <c r="G12" s="6" t="s">
        <v>98</v>
      </c>
      <c r="H12" s="6" t="s">
        <v>24</v>
      </c>
      <c r="J12" s="6">
        <v>30</v>
      </c>
      <c r="K12" s="6">
        <v>22</v>
      </c>
      <c r="L12" s="6">
        <v>7</v>
      </c>
      <c r="M12" s="6">
        <v>4</v>
      </c>
    </row>
    <row r="13" spans="1:13" s="6" customFormat="1" ht="13.5" x14ac:dyDescent="0.25">
      <c r="A13" s="6">
        <v>1</v>
      </c>
      <c r="B13" s="5" t="s">
        <v>8</v>
      </c>
      <c r="C13" s="6">
        <v>21</v>
      </c>
      <c r="D13" s="6" t="s">
        <v>105</v>
      </c>
      <c r="E13" s="6" t="s">
        <v>97</v>
      </c>
      <c r="F13" s="6" t="s">
        <v>23</v>
      </c>
      <c r="G13" s="6" t="s">
        <v>98</v>
      </c>
      <c r="H13" s="6" t="s">
        <v>29</v>
      </c>
      <c r="J13" s="6">
        <v>12</v>
      </c>
      <c r="K13" s="6">
        <v>10</v>
      </c>
      <c r="L13" s="6">
        <v>4.5999999999999996</v>
      </c>
      <c r="M13" s="6">
        <v>0.5</v>
      </c>
    </row>
    <row r="14" spans="1:13" s="6" customFormat="1" ht="13.5" x14ac:dyDescent="0.25">
      <c r="A14" s="6">
        <v>1</v>
      </c>
      <c r="B14" s="5" t="s">
        <v>8</v>
      </c>
      <c r="C14" s="6">
        <v>20</v>
      </c>
      <c r="D14" s="6" t="s">
        <v>106</v>
      </c>
      <c r="E14" s="6" t="s">
        <v>97</v>
      </c>
      <c r="F14" s="6" t="s">
        <v>23</v>
      </c>
      <c r="G14" s="6" t="s">
        <v>98</v>
      </c>
      <c r="H14" s="6" t="s">
        <v>24</v>
      </c>
      <c r="I14" s="6" t="s">
        <v>56</v>
      </c>
      <c r="J14" s="6">
        <v>50</v>
      </c>
      <c r="K14" s="6">
        <v>42</v>
      </c>
      <c r="L14" s="6">
        <v>22</v>
      </c>
      <c r="M14" s="6">
        <v>34.5</v>
      </c>
    </row>
    <row r="15" spans="1:13" s="6" customFormat="1" ht="13.5" x14ac:dyDescent="0.25">
      <c r="A15" s="6">
        <v>1</v>
      </c>
      <c r="B15" s="5" t="s">
        <v>8</v>
      </c>
      <c r="C15" s="6">
        <v>20</v>
      </c>
      <c r="D15" s="6">
        <v>7</v>
      </c>
      <c r="E15" s="6" t="s">
        <v>97</v>
      </c>
      <c r="F15" s="6" t="s">
        <v>23</v>
      </c>
      <c r="G15" s="6" t="s">
        <v>98</v>
      </c>
      <c r="H15" s="6" t="s">
        <v>24</v>
      </c>
      <c r="J15" s="6">
        <v>56</v>
      </c>
      <c r="K15" s="6">
        <v>45</v>
      </c>
      <c r="L15" s="6">
        <v>21</v>
      </c>
      <c r="M15" s="6">
        <v>63.5</v>
      </c>
    </row>
    <row r="16" spans="1:13" s="6" customFormat="1" ht="13.5" x14ac:dyDescent="0.25">
      <c r="A16" s="6">
        <v>1</v>
      </c>
      <c r="B16" s="5" t="s">
        <v>8</v>
      </c>
      <c r="C16" s="6">
        <v>20</v>
      </c>
      <c r="D16" s="6">
        <v>23</v>
      </c>
      <c r="E16" s="6" t="s">
        <v>97</v>
      </c>
      <c r="F16" s="6" t="s">
        <v>23</v>
      </c>
      <c r="G16" s="6" t="s">
        <v>98</v>
      </c>
      <c r="H16" s="6" t="s">
        <v>24</v>
      </c>
      <c r="J16" s="6">
        <v>32</v>
      </c>
      <c r="K16" s="6">
        <v>23</v>
      </c>
      <c r="L16" s="6">
        <v>12</v>
      </c>
      <c r="M16" s="6">
        <v>4.5</v>
      </c>
    </row>
    <row r="17" spans="1:13" s="6" customFormat="1" ht="13.5" x14ac:dyDescent="0.25">
      <c r="A17" s="6">
        <v>1</v>
      </c>
      <c r="B17" s="5" t="s">
        <v>8</v>
      </c>
      <c r="C17" s="6">
        <v>20</v>
      </c>
      <c r="D17" s="6" t="s">
        <v>107</v>
      </c>
      <c r="E17" s="6" t="s">
        <v>97</v>
      </c>
      <c r="F17" s="6" t="s">
        <v>23</v>
      </c>
      <c r="G17" s="6" t="s">
        <v>98</v>
      </c>
      <c r="H17" s="6" t="s">
        <v>24</v>
      </c>
      <c r="J17" s="6">
        <v>46</v>
      </c>
      <c r="K17" s="6">
        <v>32</v>
      </c>
      <c r="L17" s="6">
        <v>12</v>
      </c>
      <c r="M17" s="6">
        <v>20</v>
      </c>
    </row>
    <row r="18" spans="1:13" s="6" customFormat="1" ht="13.5" x14ac:dyDescent="0.25">
      <c r="A18" s="6">
        <v>1</v>
      </c>
      <c r="B18" s="5" t="s">
        <v>8</v>
      </c>
      <c r="C18" s="6">
        <v>20</v>
      </c>
      <c r="D18" s="6">
        <v>84</v>
      </c>
      <c r="E18" s="6" t="s">
        <v>97</v>
      </c>
      <c r="F18" s="6" t="s">
        <v>23</v>
      </c>
      <c r="G18" s="6" t="s">
        <v>98</v>
      </c>
      <c r="H18" s="6" t="s">
        <v>24</v>
      </c>
      <c r="J18" s="6">
        <v>29.13</v>
      </c>
      <c r="K18" s="6">
        <v>20.83</v>
      </c>
      <c r="L18" s="6">
        <v>5.67</v>
      </c>
      <c r="M18" s="6">
        <v>3.2</v>
      </c>
    </row>
    <row r="19" spans="1:13" s="6" customFormat="1" ht="13.5" x14ac:dyDescent="0.25">
      <c r="A19" s="6">
        <v>1</v>
      </c>
      <c r="B19" s="5" t="s">
        <v>8</v>
      </c>
      <c r="C19" s="6">
        <v>20</v>
      </c>
      <c r="D19" s="6">
        <v>85</v>
      </c>
      <c r="E19" s="6" t="s">
        <v>97</v>
      </c>
      <c r="F19" s="6" t="s">
        <v>23</v>
      </c>
      <c r="G19" s="6" t="s">
        <v>99</v>
      </c>
      <c r="H19" s="6" t="s">
        <v>24</v>
      </c>
      <c r="J19" s="6">
        <v>30.18</v>
      </c>
      <c r="K19" s="6">
        <v>21.89</v>
      </c>
      <c r="L19" s="6">
        <v>7.01</v>
      </c>
      <c r="M19" s="6">
        <v>5.2</v>
      </c>
    </row>
    <row r="20" spans="1:13" s="6" customFormat="1" ht="13.5" x14ac:dyDescent="0.25">
      <c r="A20" s="6">
        <v>1</v>
      </c>
      <c r="B20" s="5" t="s">
        <v>8</v>
      </c>
      <c r="C20" s="6">
        <v>20</v>
      </c>
      <c r="D20" s="6">
        <v>1</v>
      </c>
      <c r="E20" s="6" t="s">
        <v>97</v>
      </c>
      <c r="F20" s="6" t="s">
        <v>23</v>
      </c>
      <c r="G20" s="6" t="s">
        <v>99</v>
      </c>
      <c r="H20" s="6" t="s">
        <v>24</v>
      </c>
      <c r="J20" s="6">
        <v>30</v>
      </c>
      <c r="K20" s="6">
        <v>20</v>
      </c>
      <c r="L20" s="6">
        <v>7.3</v>
      </c>
      <c r="M20" s="6">
        <v>4.5</v>
      </c>
    </row>
    <row r="21" spans="1:13" s="6" customFormat="1" ht="13.5" x14ac:dyDescent="0.25">
      <c r="A21" s="6">
        <v>1</v>
      </c>
      <c r="B21" s="5" t="s">
        <v>8</v>
      </c>
      <c r="C21" s="6">
        <v>20</v>
      </c>
      <c r="D21" s="6" t="s">
        <v>108</v>
      </c>
      <c r="E21" s="6" t="s">
        <v>97</v>
      </c>
      <c r="F21" s="6" t="s">
        <v>23</v>
      </c>
      <c r="G21" s="6" t="s">
        <v>99</v>
      </c>
      <c r="H21" s="6" t="s">
        <v>24</v>
      </c>
      <c r="J21" s="6">
        <v>75</v>
      </c>
      <c r="K21" s="6">
        <v>30</v>
      </c>
      <c r="L21" s="6">
        <v>18</v>
      </c>
      <c r="M21" s="6">
        <v>39.6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E90E-D009-4862-BCE2-FC01226F3EA7}">
  <dimension ref="A1:AI21"/>
  <sheetViews>
    <sheetView workbookViewId="0">
      <selection activeCell="J35" sqref="J35"/>
    </sheetView>
  </sheetViews>
  <sheetFormatPr defaultRowHeight="14.25" x14ac:dyDescent="0.2"/>
  <sheetData>
    <row r="1" spans="1:35" s="7" customFormat="1" ht="36" customHeight="1" x14ac:dyDescent="0.25">
      <c r="A1" s="13" t="s">
        <v>0</v>
      </c>
      <c r="B1" s="13" t="s">
        <v>1</v>
      </c>
      <c r="C1" s="14" t="s">
        <v>2</v>
      </c>
      <c r="D1" s="2" t="s">
        <v>37</v>
      </c>
      <c r="E1" s="2" t="s">
        <v>4</v>
      </c>
      <c r="F1" s="2" t="s">
        <v>109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110</v>
      </c>
      <c r="M1" s="18" t="s">
        <v>111</v>
      </c>
      <c r="N1" s="2" t="s">
        <v>112</v>
      </c>
      <c r="O1" s="18" t="s">
        <v>113</v>
      </c>
      <c r="P1" s="1" t="s">
        <v>114</v>
      </c>
      <c r="Q1" s="19" t="s">
        <v>115</v>
      </c>
      <c r="R1" s="19" t="s">
        <v>116</v>
      </c>
      <c r="S1" s="19" t="s">
        <v>117</v>
      </c>
      <c r="T1" s="20" t="s">
        <v>118</v>
      </c>
      <c r="U1" s="19" t="s">
        <v>119</v>
      </c>
      <c r="V1" s="19" t="s">
        <v>120</v>
      </c>
      <c r="W1" s="19" t="s">
        <v>121</v>
      </c>
      <c r="X1" s="19" t="s">
        <v>15</v>
      </c>
      <c r="Y1" s="19" t="s">
        <v>122</v>
      </c>
      <c r="Z1" s="19" t="s">
        <v>123</v>
      </c>
      <c r="AA1" s="19" t="s">
        <v>124</v>
      </c>
      <c r="AB1" s="19" t="s">
        <v>125</v>
      </c>
      <c r="AC1" s="19" t="s">
        <v>126</v>
      </c>
      <c r="AD1" s="19" t="s">
        <v>127</v>
      </c>
      <c r="AE1" s="19" t="s">
        <v>128</v>
      </c>
      <c r="AF1" s="19" t="s">
        <v>129</v>
      </c>
      <c r="AG1" s="19" t="s">
        <v>130</v>
      </c>
      <c r="AH1" s="19" t="s">
        <v>131</v>
      </c>
      <c r="AI1" s="20" t="s">
        <v>132</v>
      </c>
    </row>
    <row r="2" spans="1:35" s="7" customFormat="1" ht="14.85" customHeight="1" x14ac:dyDescent="0.25">
      <c r="A2" s="11">
        <v>1</v>
      </c>
      <c r="B2" s="12" t="s">
        <v>20</v>
      </c>
      <c r="C2" s="11">
        <v>5</v>
      </c>
      <c r="D2" s="7" t="s">
        <v>133</v>
      </c>
      <c r="E2" s="7" t="s">
        <v>134</v>
      </c>
      <c r="F2" s="7" t="s">
        <v>135</v>
      </c>
      <c r="G2" s="7" t="s">
        <v>136</v>
      </c>
      <c r="H2" s="7">
        <v>32</v>
      </c>
      <c r="I2" s="7">
        <v>25</v>
      </c>
      <c r="J2" s="7">
        <v>11</v>
      </c>
      <c r="K2" s="7">
        <v>7</v>
      </c>
      <c r="L2" s="11" t="s">
        <v>137</v>
      </c>
      <c r="M2" s="7" t="s">
        <v>138</v>
      </c>
      <c r="N2" s="9">
        <v>0.3</v>
      </c>
      <c r="O2" s="7">
        <v>1</v>
      </c>
      <c r="P2" s="11">
        <v>52</v>
      </c>
      <c r="Q2" s="7">
        <v>1</v>
      </c>
      <c r="T2" s="21">
        <f>AVERAGE(Q2:S2)</f>
        <v>1</v>
      </c>
      <c r="U2" s="7">
        <v>8</v>
      </c>
      <c r="X2" s="11">
        <f t="shared" ref="X2:X13" si="0">U2+V2+W2</f>
        <v>8</v>
      </c>
      <c r="Y2" s="11">
        <v>32</v>
      </c>
      <c r="Z2" s="11"/>
      <c r="AA2" s="11"/>
      <c r="AB2" s="11">
        <f>Y2+Z2+AA2</f>
        <v>32</v>
      </c>
      <c r="AC2" s="11">
        <v>32</v>
      </c>
      <c r="AD2" s="11"/>
      <c r="AE2" s="11"/>
      <c r="AF2" s="22">
        <f t="shared" ref="AF2:AF18" si="1">Y2/AC2</f>
        <v>1</v>
      </c>
      <c r="AI2" s="21">
        <f>AVERAGE(AF2:AH2)</f>
        <v>1</v>
      </c>
    </row>
    <row r="3" spans="1:35" s="7" customFormat="1" ht="14.85" customHeight="1" x14ac:dyDescent="0.25">
      <c r="A3" s="11">
        <v>1</v>
      </c>
      <c r="B3" s="12" t="s">
        <v>20</v>
      </c>
      <c r="C3" s="11">
        <v>6</v>
      </c>
      <c r="D3" s="7" t="s">
        <v>139</v>
      </c>
      <c r="E3" s="7" t="s">
        <v>134</v>
      </c>
      <c r="F3" s="7" t="s">
        <v>135</v>
      </c>
      <c r="G3" s="7" t="s">
        <v>24</v>
      </c>
      <c r="H3" s="7">
        <v>69</v>
      </c>
      <c r="I3" s="7">
        <v>44</v>
      </c>
      <c r="J3" s="7">
        <v>14</v>
      </c>
      <c r="K3" s="7">
        <v>60</v>
      </c>
      <c r="M3" s="7" t="s">
        <v>140</v>
      </c>
      <c r="N3" s="9">
        <v>0.5</v>
      </c>
      <c r="O3" s="7">
        <v>1</v>
      </c>
      <c r="P3" s="11">
        <v>46.3</v>
      </c>
      <c r="Q3" s="7">
        <v>1</v>
      </c>
      <c r="T3" s="21">
        <f t="shared" ref="T3:T21" si="2">AVERAGE(Q3:S3)</f>
        <v>1</v>
      </c>
      <c r="U3" s="7">
        <v>5</v>
      </c>
      <c r="X3" s="11">
        <f t="shared" si="0"/>
        <v>5</v>
      </c>
      <c r="Y3" s="11">
        <v>59</v>
      </c>
      <c r="Z3" s="11"/>
      <c r="AA3" s="11"/>
      <c r="AB3" s="11">
        <f t="shared" ref="AB3:AB21" si="3">Y3+Z3+AA3</f>
        <v>59</v>
      </c>
      <c r="AC3" s="11">
        <v>127</v>
      </c>
      <c r="AD3" s="11"/>
      <c r="AE3" s="11"/>
      <c r="AF3" s="22">
        <f t="shared" si="1"/>
        <v>0.46456692913385828</v>
      </c>
      <c r="AI3" s="21">
        <f t="shared" ref="AI3:AI21" si="4">AVERAGE(AF3:AH3)</f>
        <v>0.46456692913385828</v>
      </c>
    </row>
    <row r="4" spans="1:35" s="7" customFormat="1" ht="14.85" customHeight="1" x14ac:dyDescent="0.25">
      <c r="A4" s="11">
        <v>1</v>
      </c>
      <c r="B4" s="12" t="s">
        <v>20</v>
      </c>
      <c r="C4" s="11">
        <v>7</v>
      </c>
      <c r="D4" s="7" t="s">
        <v>93</v>
      </c>
      <c r="E4" s="7" t="s">
        <v>134</v>
      </c>
      <c r="F4" s="7" t="s">
        <v>141</v>
      </c>
      <c r="G4" s="7" t="s">
        <v>24</v>
      </c>
      <c r="H4" s="7">
        <v>37</v>
      </c>
      <c r="I4" s="7">
        <v>20</v>
      </c>
      <c r="J4" s="7">
        <v>12</v>
      </c>
      <c r="K4" s="7">
        <v>7</v>
      </c>
      <c r="L4" s="11" t="s">
        <v>137</v>
      </c>
      <c r="M4" s="7" t="s">
        <v>138</v>
      </c>
      <c r="N4" s="9">
        <v>0.05</v>
      </c>
      <c r="O4" s="7">
        <v>1</v>
      </c>
      <c r="P4" s="7">
        <v>80</v>
      </c>
      <c r="Q4" s="7">
        <v>1</v>
      </c>
      <c r="T4" s="21">
        <f t="shared" si="2"/>
        <v>1</v>
      </c>
      <c r="U4" s="7">
        <v>7</v>
      </c>
      <c r="X4" s="11">
        <f t="shared" si="0"/>
        <v>7</v>
      </c>
      <c r="Y4" s="11">
        <v>18</v>
      </c>
      <c r="Z4" s="11"/>
      <c r="AA4" s="11"/>
      <c r="AB4" s="11">
        <f t="shared" si="3"/>
        <v>18</v>
      </c>
      <c r="AC4" s="11">
        <v>18</v>
      </c>
      <c r="AD4" s="11"/>
      <c r="AE4" s="11"/>
      <c r="AF4" s="22">
        <f t="shared" si="1"/>
        <v>1</v>
      </c>
      <c r="AI4" s="21">
        <f t="shared" si="4"/>
        <v>1</v>
      </c>
    </row>
    <row r="5" spans="1:35" s="7" customFormat="1" ht="14.85" customHeight="1" x14ac:dyDescent="0.25">
      <c r="A5" s="11">
        <v>1</v>
      </c>
      <c r="B5" s="12" t="s">
        <v>20</v>
      </c>
      <c r="C5" s="11">
        <v>7</v>
      </c>
      <c r="D5" s="7" t="s">
        <v>142</v>
      </c>
      <c r="E5" s="7" t="s">
        <v>134</v>
      </c>
      <c r="F5" s="7" t="s">
        <v>143</v>
      </c>
      <c r="G5" s="7" t="s">
        <v>71</v>
      </c>
      <c r="H5" s="7">
        <v>29</v>
      </c>
      <c r="I5" s="7">
        <v>18</v>
      </c>
      <c r="J5" s="7">
        <v>8</v>
      </c>
      <c r="K5" s="7">
        <v>3</v>
      </c>
      <c r="M5" s="7" t="s">
        <v>138</v>
      </c>
      <c r="N5" s="9">
        <v>0</v>
      </c>
      <c r="O5" s="7">
        <v>2</v>
      </c>
      <c r="P5" s="11">
        <v>76.5</v>
      </c>
      <c r="Q5" s="7">
        <v>1</v>
      </c>
      <c r="T5" s="21">
        <f t="shared" si="2"/>
        <v>1</v>
      </c>
      <c r="U5" s="11">
        <v>5</v>
      </c>
      <c r="V5" s="11">
        <v>7</v>
      </c>
      <c r="X5" s="11">
        <f t="shared" si="0"/>
        <v>12</v>
      </c>
      <c r="Y5" s="11">
        <v>13</v>
      </c>
      <c r="Z5" s="11">
        <v>16</v>
      </c>
      <c r="AA5" s="11"/>
      <c r="AB5" s="11">
        <f t="shared" si="3"/>
        <v>29</v>
      </c>
      <c r="AC5" s="11">
        <v>13</v>
      </c>
      <c r="AD5" s="11">
        <v>16</v>
      </c>
      <c r="AE5" s="11"/>
      <c r="AF5" s="22">
        <f t="shared" si="1"/>
        <v>1</v>
      </c>
      <c r="AI5" s="21">
        <f t="shared" si="4"/>
        <v>1</v>
      </c>
    </row>
    <row r="6" spans="1:35" s="7" customFormat="1" ht="14.85" customHeight="1" x14ac:dyDescent="0.25">
      <c r="A6" s="11">
        <v>1</v>
      </c>
      <c r="B6" s="12" t="s">
        <v>33</v>
      </c>
      <c r="C6" s="11">
        <v>3</v>
      </c>
      <c r="D6" s="7" t="s">
        <v>144</v>
      </c>
      <c r="E6" s="7" t="s">
        <v>134</v>
      </c>
      <c r="F6" s="7" t="s">
        <v>143</v>
      </c>
      <c r="G6" s="7" t="s">
        <v>24</v>
      </c>
      <c r="H6" s="7">
        <v>36</v>
      </c>
      <c r="I6" s="7">
        <v>36</v>
      </c>
      <c r="J6" s="7">
        <v>8</v>
      </c>
      <c r="K6" s="7">
        <v>11</v>
      </c>
      <c r="M6" s="7" t="s">
        <v>140</v>
      </c>
      <c r="N6" s="9">
        <v>0.45</v>
      </c>
      <c r="O6" s="7">
        <v>2</v>
      </c>
      <c r="P6" s="11">
        <v>50.5</v>
      </c>
      <c r="Q6" s="11">
        <v>2</v>
      </c>
      <c r="R6" s="11">
        <v>2</v>
      </c>
      <c r="T6" s="21">
        <f t="shared" si="2"/>
        <v>2</v>
      </c>
      <c r="U6" s="11">
        <v>4</v>
      </c>
      <c r="V6" s="11">
        <v>5</v>
      </c>
      <c r="X6" s="11">
        <f t="shared" si="0"/>
        <v>9</v>
      </c>
      <c r="Y6" s="11">
        <v>26</v>
      </c>
      <c r="Z6" s="11">
        <v>26</v>
      </c>
      <c r="AA6" s="11"/>
      <c r="AB6" s="11">
        <f t="shared" si="3"/>
        <v>52</v>
      </c>
      <c r="AC6" s="11">
        <v>26</v>
      </c>
      <c r="AD6" s="11">
        <v>32</v>
      </c>
      <c r="AF6" s="22">
        <f t="shared" si="1"/>
        <v>1</v>
      </c>
      <c r="AI6" s="21">
        <f t="shared" si="4"/>
        <v>1</v>
      </c>
    </row>
    <row r="7" spans="1:35" s="24" customFormat="1" ht="14.85" customHeight="1" x14ac:dyDescent="0.25">
      <c r="A7" s="11">
        <v>1</v>
      </c>
      <c r="B7" s="23" t="s">
        <v>33</v>
      </c>
      <c r="C7" s="24">
        <v>4</v>
      </c>
      <c r="D7" s="24" t="s">
        <v>145</v>
      </c>
      <c r="E7" s="7" t="s">
        <v>134</v>
      </c>
      <c r="F7" s="24" t="s">
        <v>141</v>
      </c>
      <c r="G7" s="24" t="s">
        <v>28</v>
      </c>
      <c r="H7" s="7">
        <v>32</v>
      </c>
      <c r="I7" s="7">
        <v>27</v>
      </c>
      <c r="J7" s="7">
        <v>9</v>
      </c>
      <c r="K7" s="11">
        <v>6</v>
      </c>
      <c r="L7" s="11" t="s">
        <v>137</v>
      </c>
      <c r="M7" s="24" t="s">
        <v>138</v>
      </c>
      <c r="N7" s="9">
        <v>0</v>
      </c>
      <c r="O7" s="11">
        <v>2</v>
      </c>
      <c r="P7" s="24">
        <v>74</v>
      </c>
      <c r="Q7" s="24">
        <v>1</v>
      </c>
      <c r="R7" s="24">
        <v>1</v>
      </c>
      <c r="T7" s="21">
        <f t="shared" si="2"/>
        <v>1</v>
      </c>
      <c r="U7" s="24">
        <v>5</v>
      </c>
      <c r="V7" s="24">
        <v>3</v>
      </c>
      <c r="X7" s="11">
        <f t="shared" si="0"/>
        <v>8</v>
      </c>
      <c r="Y7" s="24">
        <v>30</v>
      </c>
      <c r="AB7" s="11">
        <f t="shared" si="3"/>
        <v>30</v>
      </c>
      <c r="AC7" s="24">
        <v>30</v>
      </c>
      <c r="AF7" s="22">
        <f t="shared" si="1"/>
        <v>1</v>
      </c>
      <c r="AI7" s="21">
        <f t="shared" si="4"/>
        <v>1</v>
      </c>
    </row>
    <row r="8" spans="1:35" s="11" customFormat="1" ht="14.85" customHeight="1" x14ac:dyDescent="0.25">
      <c r="A8" s="11">
        <v>1</v>
      </c>
      <c r="B8" s="3" t="s">
        <v>33</v>
      </c>
      <c r="C8" s="11">
        <v>5</v>
      </c>
      <c r="D8" s="11">
        <v>5</v>
      </c>
      <c r="E8" s="7" t="s">
        <v>134</v>
      </c>
      <c r="F8" s="24" t="s">
        <v>141</v>
      </c>
      <c r="G8" s="11" t="s">
        <v>29</v>
      </c>
      <c r="H8" s="11">
        <v>16</v>
      </c>
      <c r="I8" s="11">
        <v>5</v>
      </c>
      <c r="J8" s="11">
        <v>4</v>
      </c>
      <c r="K8" s="11">
        <v>0.3</v>
      </c>
      <c r="L8" s="11" t="s">
        <v>27</v>
      </c>
      <c r="M8" s="7" t="s">
        <v>146</v>
      </c>
      <c r="N8" s="9">
        <v>0</v>
      </c>
      <c r="O8" s="11">
        <v>1</v>
      </c>
      <c r="T8" s="21"/>
      <c r="AF8" s="22"/>
      <c r="AI8" s="21"/>
    </row>
    <row r="9" spans="1:35" s="7" customFormat="1" ht="14.85" customHeight="1" x14ac:dyDescent="0.25">
      <c r="A9" s="11">
        <v>1</v>
      </c>
      <c r="B9" s="12" t="s">
        <v>33</v>
      </c>
      <c r="C9" s="11">
        <v>5</v>
      </c>
      <c r="D9" s="7" t="s">
        <v>147</v>
      </c>
      <c r="E9" s="7" t="s">
        <v>134</v>
      </c>
      <c r="F9" s="7" t="s">
        <v>148</v>
      </c>
      <c r="G9" s="7" t="s">
        <v>29</v>
      </c>
      <c r="H9" s="11">
        <v>15.19</v>
      </c>
      <c r="I9" s="11">
        <v>11.06</v>
      </c>
      <c r="J9" s="11">
        <v>5.18</v>
      </c>
      <c r="K9" s="11">
        <v>0.46</v>
      </c>
      <c r="L9" s="11" t="s">
        <v>27</v>
      </c>
      <c r="M9" s="7" t="s">
        <v>149</v>
      </c>
      <c r="N9" s="9">
        <v>0</v>
      </c>
      <c r="O9" s="11">
        <v>1</v>
      </c>
      <c r="P9" s="11">
        <v>91</v>
      </c>
      <c r="Q9" s="11">
        <v>1</v>
      </c>
      <c r="R9" s="11"/>
      <c r="S9" s="11"/>
      <c r="T9" s="21">
        <f t="shared" si="2"/>
        <v>1</v>
      </c>
      <c r="U9" s="11">
        <v>7</v>
      </c>
      <c r="V9" s="11"/>
      <c r="W9" s="11"/>
      <c r="X9" s="11">
        <f t="shared" si="0"/>
        <v>7</v>
      </c>
      <c r="Y9" s="11">
        <v>20.98</v>
      </c>
      <c r="Z9" s="11"/>
      <c r="AA9" s="11"/>
      <c r="AB9" s="11">
        <f t="shared" si="3"/>
        <v>20.98</v>
      </c>
      <c r="AC9" s="11">
        <v>20.98</v>
      </c>
      <c r="AD9" s="11"/>
      <c r="AE9" s="11"/>
      <c r="AF9" s="22">
        <f t="shared" si="1"/>
        <v>1</v>
      </c>
      <c r="AG9" s="11"/>
      <c r="AH9" s="11"/>
      <c r="AI9" s="21">
        <f t="shared" si="4"/>
        <v>1</v>
      </c>
    </row>
    <row r="10" spans="1:35" s="7" customFormat="1" ht="14.85" customHeight="1" x14ac:dyDescent="0.25">
      <c r="A10" s="11">
        <v>1</v>
      </c>
      <c r="B10" s="12" t="s">
        <v>33</v>
      </c>
      <c r="C10" s="11">
        <v>5</v>
      </c>
      <c r="D10" s="7" t="s">
        <v>150</v>
      </c>
      <c r="E10" s="7" t="s">
        <v>134</v>
      </c>
      <c r="F10" s="7" t="s">
        <v>143</v>
      </c>
      <c r="G10" s="7" t="s">
        <v>28</v>
      </c>
      <c r="H10" s="7">
        <v>16</v>
      </c>
      <c r="I10" s="7">
        <v>13</v>
      </c>
      <c r="J10" s="7">
        <v>6</v>
      </c>
      <c r="K10" s="11">
        <v>1</v>
      </c>
      <c r="L10" s="11" t="s">
        <v>137</v>
      </c>
      <c r="M10" s="7" t="s">
        <v>138</v>
      </c>
      <c r="N10" s="9">
        <v>0.05</v>
      </c>
      <c r="O10" s="11">
        <v>2</v>
      </c>
      <c r="P10" s="11">
        <v>95</v>
      </c>
      <c r="Q10" s="11">
        <v>1</v>
      </c>
      <c r="R10" s="11">
        <v>1</v>
      </c>
      <c r="T10" s="21">
        <f t="shared" si="2"/>
        <v>1</v>
      </c>
      <c r="U10" s="11">
        <v>4</v>
      </c>
      <c r="V10" s="11">
        <v>3</v>
      </c>
      <c r="X10" s="11">
        <f t="shared" si="0"/>
        <v>7</v>
      </c>
      <c r="Y10" s="11">
        <v>6</v>
      </c>
      <c r="Z10" s="11">
        <v>6</v>
      </c>
      <c r="AA10" s="11"/>
      <c r="AB10" s="11">
        <f t="shared" si="3"/>
        <v>12</v>
      </c>
      <c r="AC10" s="11">
        <v>6</v>
      </c>
      <c r="AD10" s="11">
        <v>10</v>
      </c>
      <c r="AF10" s="22">
        <f t="shared" si="1"/>
        <v>1</v>
      </c>
      <c r="AG10" s="22">
        <f>Z10/AD10</f>
        <v>0.6</v>
      </c>
      <c r="AI10" s="21">
        <f t="shared" si="4"/>
        <v>0.8</v>
      </c>
    </row>
    <row r="11" spans="1:35" s="7" customFormat="1" ht="14.85" customHeight="1" x14ac:dyDescent="0.25">
      <c r="A11" s="11">
        <v>1</v>
      </c>
      <c r="B11" s="12" t="s">
        <v>33</v>
      </c>
      <c r="C11" s="11">
        <v>5</v>
      </c>
      <c r="D11" s="7">
        <v>1</v>
      </c>
      <c r="E11" s="7" t="s">
        <v>134</v>
      </c>
      <c r="F11" s="7" t="s">
        <v>141</v>
      </c>
      <c r="G11" s="7" t="s">
        <v>28</v>
      </c>
      <c r="H11" s="7">
        <v>18</v>
      </c>
      <c r="I11" s="7">
        <v>14</v>
      </c>
      <c r="J11" s="7">
        <v>6</v>
      </c>
      <c r="K11" s="11">
        <v>2.5</v>
      </c>
      <c r="L11" s="11" t="s">
        <v>27</v>
      </c>
      <c r="M11" s="7" t="s">
        <v>149</v>
      </c>
      <c r="N11" s="9">
        <v>0</v>
      </c>
      <c r="O11" s="11">
        <v>1</v>
      </c>
      <c r="P11" s="7">
        <v>82</v>
      </c>
      <c r="Q11" s="11">
        <v>2</v>
      </c>
      <c r="R11" s="11"/>
      <c r="S11" s="11"/>
      <c r="T11" s="21">
        <f t="shared" si="2"/>
        <v>2</v>
      </c>
      <c r="U11" s="11">
        <v>7</v>
      </c>
      <c r="V11" s="11"/>
      <c r="W11" s="11"/>
      <c r="X11" s="11">
        <f t="shared" si="0"/>
        <v>7</v>
      </c>
      <c r="Y11" s="11">
        <v>14</v>
      </c>
      <c r="Z11" s="11"/>
      <c r="AA11" s="11"/>
      <c r="AB11" s="11">
        <f t="shared" si="3"/>
        <v>14</v>
      </c>
      <c r="AC11" s="11">
        <v>14</v>
      </c>
      <c r="AD11" s="11"/>
      <c r="AE11" s="11"/>
      <c r="AF11" s="22">
        <f t="shared" si="1"/>
        <v>1</v>
      </c>
      <c r="AG11" s="11"/>
      <c r="AH11" s="11"/>
      <c r="AI11" s="21">
        <f t="shared" si="4"/>
        <v>1</v>
      </c>
    </row>
    <row r="12" spans="1:35" s="7" customFormat="1" ht="14.85" customHeight="1" x14ac:dyDescent="0.25">
      <c r="A12" s="11">
        <v>1</v>
      </c>
      <c r="B12" s="3" t="s">
        <v>33</v>
      </c>
      <c r="C12" s="11">
        <v>6</v>
      </c>
      <c r="D12" s="11" t="s">
        <v>151</v>
      </c>
      <c r="E12" s="7" t="s">
        <v>134</v>
      </c>
      <c r="F12" s="7" t="s">
        <v>141</v>
      </c>
      <c r="G12" s="7" t="s">
        <v>24</v>
      </c>
      <c r="H12" s="7">
        <v>26</v>
      </c>
      <c r="I12" s="7">
        <v>20</v>
      </c>
      <c r="J12" s="7">
        <v>8</v>
      </c>
      <c r="K12" s="11">
        <v>4.5</v>
      </c>
      <c r="L12" s="11" t="s">
        <v>137</v>
      </c>
      <c r="M12" s="7" t="s">
        <v>138</v>
      </c>
      <c r="N12" s="9">
        <v>0.2</v>
      </c>
      <c r="O12" s="11">
        <v>2</v>
      </c>
      <c r="P12" s="11">
        <v>49.5</v>
      </c>
      <c r="Q12" s="11">
        <v>1</v>
      </c>
      <c r="R12" s="11"/>
      <c r="S12" s="11"/>
      <c r="T12" s="21">
        <f t="shared" si="2"/>
        <v>1</v>
      </c>
      <c r="U12" s="11">
        <v>6</v>
      </c>
      <c r="V12" s="11">
        <v>12</v>
      </c>
      <c r="X12" s="11">
        <f t="shared" si="0"/>
        <v>18</v>
      </c>
      <c r="Y12" s="11">
        <v>25</v>
      </c>
      <c r="Z12" s="11">
        <v>43</v>
      </c>
      <c r="AA12" s="11"/>
      <c r="AB12" s="11">
        <f t="shared" si="3"/>
        <v>68</v>
      </c>
      <c r="AC12" s="11">
        <v>25</v>
      </c>
      <c r="AD12" s="11">
        <v>43</v>
      </c>
      <c r="AF12" s="22">
        <f t="shared" si="1"/>
        <v>1</v>
      </c>
      <c r="AG12" s="22">
        <f>Z12/AD12</f>
        <v>1</v>
      </c>
      <c r="AI12" s="21">
        <f t="shared" si="4"/>
        <v>1</v>
      </c>
    </row>
    <row r="13" spans="1:35" s="7" customFormat="1" ht="14.85" customHeight="1" x14ac:dyDescent="0.25">
      <c r="A13" s="11">
        <v>1</v>
      </c>
      <c r="B13" s="12" t="s">
        <v>33</v>
      </c>
      <c r="C13" s="11">
        <v>6</v>
      </c>
      <c r="D13" s="11" t="s">
        <v>152</v>
      </c>
      <c r="E13" s="7" t="s">
        <v>134</v>
      </c>
      <c r="F13" s="7" t="s">
        <v>153</v>
      </c>
      <c r="G13" s="7" t="s">
        <v>24</v>
      </c>
      <c r="H13" s="7">
        <v>23</v>
      </c>
      <c r="I13" s="7">
        <v>16</v>
      </c>
      <c r="J13" s="7">
        <v>8</v>
      </c>
      <c r="K13" s="11">
        <v>2.5</v>
      </c>
      <c r="L13" s="11"/>
      <c r="M13" s="7" t="s">
        <v>140</v>
      </c>
      <c r="N13" s="9">
        <v>0.2</v>
      </c>
      <c r="O13" s="11">
        <v>2</v>
      </c>
      <c r="P13" s="11">
        <v>66</v>
      </c>
      <c r="Q13" s="11">
        <v>2</v>
      </c>
      <c r="R13" s="11"/>
      <c r="S13" s="11"/>
      <c r="T13" s="21">
        <f t="shared" si="2"/>
        <v>2</v>
      </c>
      <c r="U13" s="11">
        <v>4</v>
      </c>
      <c r="V13" s="11"/>
      <c r="W13" s="11"/>
      <c r="X13" s="11">
        <f t="shared" si="0"/>
        <v>4</v>
      </c>
      <c r="Y13" s="11">
        <v>21</v>
      </c>
      <c r="Z13" s="11"/>
      <c r="AA13" s="11"/>
      <c r="AB13" s="11">
        <f t="shared" si="3"/>
        <v>21</v>
      </c>
      <c r="AC13" s="11">
        <v>35</v>
      </c>
      <c r="AD13" s="11"/>
      <c r="AE13" s="11"/>
      <c r="AF13" s="22">
        <f t="shared" si="1"/>
        <v>0.6</v>
      </c>
      <c r="AG13" s="22"/>
      <c r="AI13" s="21">
        <f t="shared" si="4"/>
        <v>0.6</v>
      </c>
    </row>
    <row r="14" spans="1:35" s="7" customFormat="1" ht="14.85" customHeight="1" x14ac:dyDescent="0.25">
      <c r="A14" s="11">
        <v>1</v>
      </c>
      <c r="B14" s="12" t="s">
        <v>33</v>
      </c>
      <c r="C14" s="11">
        <v>6</v>
      </c>
      <c r="D14" s="7" t="s">
        <v>154</v>
      </c>
      <c r="E14" s="7" t="s">
        <v>134</v>
      </c>
      <c r="F14" s="7" t="s">
        <v>135</v>
      </c>
      <c r="G14" s="7" t="s">
        <v>136</v>
      </c>
      <c r="H14" s="7">
        <v>98</v>
      </c>
      <c r="I14" s="7">
        <v>76</v>
      </c>
      <c r="J14" s="7">
        <v>35</v>
      </c>
      <c r="K14" s="11">
        <v>261</v>
      </c>
      <c r="L14" s="11"/>
      <c r="M14" s="7" t="s">
        <v>140</v>
      </c>
      <c r="N14" s="9">
        <v>0</v>
      </c>
      <c r="O14" s="11">
        <v>1</v>
      </c>
      <c r="P14" s="11">
        <v>72</v>
      </c>
      <c r="Q14" s="11">
        <v>1</v>
      </c>
      <c r="R14" s="11"/>
      <c r="S14" s="11"/>
      <c r="T14" s="21">
        <f t="shared" si="2"/>
        <v>1</v>
      </c>
      <c r="U14" s="11">
        <v>8</v>
      </c>
      <c r="V14" s="11"/>
      <c r="W14" s="11"/>
      <c r="X14" s="11">
        <f>U14+V14+W14</f>
        <v>8</v>
      </c>
      <c r="Y14" s="11">
        <v>55</v>
      </c>
      <c r="Z14" s="11"/>
      <c r="AA14" s="11"/>
      <c r="AB14" s="11">
        <f t="shared" si="3"/>
        <v>55</v>
      </c>
      <c r="AC14" s="11">
        <v>55</v>
      </c>
      <c r="AD14" s="11"/>
      <c r="AE14" s="11"/>
      <c r="AF14" s="22">
        <f t="shared" si="1"/>
        <v>1</v>
      </c>
      <c r="AG14" s="22"/>
      <c r="AH14" s="11"/>
      <c r="AI14" s="21">
        <f t="shared" si="4"/>
        <v>1</v>
      </c>
    </row>
    <row r="15" spans="1:35" s="7" customFormat="1" ht="14.85" customHeight="1" x14ac:dyDescent="0.25">
      <c r="A15" s="11">
        <v>1</v>
      </c>
      <c r="B15" s="12" t="s">
        <v>8</v>
      </c>
      <c r="C15" s="11">
        <v>21</v>
      </c>
      <c r="D15" s="7" t="s">
        <v>155</v>
      </c>
      <c r="E15" s="7" t="s">
        <v>134</v>
      </c>
      <c r="F15" s="7" t="s">
        <v>153</v>
      </c>
      <c r="G15" s="7" t="s">
        <v>29</v>
      </c>
      <c r="H15" s="11">
        <v>18.5</v>
      </c>
      <c r="I15" s="11">
        <v>12.6</v>
      </c>
      <c r="J15" s="11">
        <v>7</v>
      </c>
      <c r="K15" s="11">
        <v>1.5</v>
      </c>
      <c r="L15" s="11"/>
      <c r="M15" s="7" t="s">
        <v>138</v>
      </c>
      <c r="N15" s="9">
        <v>0.3</v>
      </c>
      <c r="O15" s="11">
        <v>1</v>
      </c>
      <c r="P15" s="11">
        <v>70</v>
      </c>
      <c r="Q15" s="11">
        <v>1</v>
      </c>
      <c r="R15" s="11"/>
      <c r="S15" s="11"/>
      <c r="T15" s="21">
        <f t="shared" si="2"/>
        <v>1</v>
      </c>
      <c r="U15" s="11">
        <v>2</v>
      </c>
      <c r="V15" s="11"/>
      <c r="W15" s="11"/>
      <c r="X15" s="11">
        <f t="shared" ref="X15:X21" si="5">U15+V15+W15</f>
        <v>2</v>
      </c>
      <c r="Y15" s="11">
        <v>10</v>
      </c>
      <c r="Z15" s="11"/>
      <c r="AA15" s="11"/>
      <c r="AB15" s="11">
        <f t="shared" si="3"/>
        <v>10</v>
      </c>
      <c r="AC15" s="11">
        <v>17</v>
      </c>
      <c r="AD15" s="11"/>
      <c r="AE15" s="11"/>
      <c r="AF15" s="22">
        <f t="shared" si="1"/>
        <v>0.58823529411764708</v>
      </c>
      <c r="AG15" s="22"/>
      <c r="AH15" s="11"/>
      <c r="AI15" s="21">
        <f t="shared" si="4"/>
        <v>0.58823529411764708</v>
      </c>
    </row>
    <row r="16" spans="1:35" s="7" customFormat="1" ht="14.85" customHeight="1" x14ac:dyDescent="0.25">
      <c r="A16" s="11">
        <v>1</v>
      </c>
      <c r="B16" s="3" t="s">
        <v>8</v>
      </c>
      <c r="C16" s="11">
        <v>20</v>
      </c>
      <c r="D16" s="11" t="s">
        <v>156</v>
      </c>
      <c r="E16" s="7" t="s">
        <v>134</v>
      </c>
      <c r="F16" s="7" t="s">
        <v>153</v>
      </c>
      <c r="G16" s="7" t="s">
        <v>24</v>
      </c>
      <c r="H16" s="11">
        <v>49</v>
      </c>
      <c r="I16" s="11">
        <v>27</v>
      </c>
      <c r="J16" s="11">
        <v>10</v>
      </c>
      <c r="K16" s="11">
        <v>16</v>
      </c>
      <c r="L16" s="11" t="s">
        <v>137</v>
      </c>
      <c r="M16" s="7" t="s">
        <v>138</v>
      </c>
      <c r="N16" s="9">
        <v>0.25</v>
      </c>
      <c r="O16" s="11">
        <v>3</v>
      </c>
      <c r="P16" s="11">
        <v>66.7</v>
      </c>
      <c r="Q16" s="11">
        <v>1</v>
      </c>
      <c r="R16" s="11">
        <v>1</v>
      </c>
      <c r="S16" s="11">
        <v>1</v>
      </c>
      <c r="T16" s="21">
        <f t="shared" si="2"/>
        <v>1</v>
      </c>
      <c r="U16" s="11">
        <v>6</v>
      </c>
      <c r="V16" s="11">
        <v>8</v>
      </c>
      <c r="W16" s="11">
        <v>14</v>
      </c>
      <c r="X16" s="11">
        <f t="shared" si="5"/>
        <v>28</v>
      </c>
      <c r="Y16" s="11">
        <v>14</v>
      </c>
      <c r="Z16" s="11">
        <v>25</v>
      </c>
      <c r="AA16" s="11">
        <v>40</v>
      </c>
      <c r="AB16" s="11">
        <f t="shared" si="3"/>
        <v>79</v>
      </c>
      <c r="AC16" s="11">
        <v>14</v>
      </c>
      <c r="AD16" s="11">
        <v>25</v>
      </c>
      <c r="AE16" s="11">
        <v>40</v>
      </c>
      <c r="AF16" s="22">
        <f t="shared" si="1"/>
        <v>1</v>
      </c>
      <c r="AG16" s="22">
        <f>Z16/AD16</f>
        <v>1</v>
      </c>
      <c r="AH16" s="22">
        <f>AA16/AE16</f>
        <v>1</v>
      </c>
      <c r="AI16" s="21">
        <f t="shared" si="4"/>
        <v>1</v>
      </c>
    </row>
    <row r="17" spans="1:35" s="7" customFormat="1" ht="14.85" customHeight="1" x14ac:dyDescent="0.25">
      <c r="A17" s="11">
        <v>1</v>
      </c>
      <c r="B17" s="12" t="s">
        <v>8</v>
      </c>
      <c r="C17" s="11">
        <v>20</v>
      </c>
      <c r="D17" s="11" t="s">
        <v>157</v>
      </c>
      <c r="E17" s="7" t="s">
        <v>134</v>
      </c>
      <c r="F17" s="7" t="s">
        <v>141</v>
      </c>
      <c r="G17" s="7" t="s">
        <v>24</v>
      </c>
      <c r="H17" s="11">
        <v>54</v>
      </c>
      <c r="I17" s="11">
        <v>45</v>
      </c>
      <c r="J17" s="11">
        <v>18</v>
      </c>
      <c r="K17" s="11">
        <v>31.5</v>
      </c>
      <c r="L17" s="11" t="s">
        <v>137</v>
      </c>
      <c r="M17" s="7" t="s">
        <v>138</v>
      </c>
      <c r="N17" s="9">
        <v>0.1</v>
      </c>
      <c r="O17" s="11">
        <v>1</v>
      </c>
      <c r="P17" s="7">
        <v>65</v>
      </c>
      <c r="Q17" s="11">
        <v>1</v>
      </c>
      <c r="R17" s="11"/>
      <c r="S17" s="11"/>
      <c r="T17" s="21">
        <f t="shared" si="2"/>
        <v>1</v>
      </c>
      <c r="U17" s="11">
        <v>3</v>
      </c>
      <c r="V17" s="11"/>
      <c r="W17" s="11"/>
      <c r="X17" s="11">
        <f t="shared" si="5"/>
        <v>3</v>
      </c>
      <c r="Y17" s="11">
        <v>19</v>
      </c>
      <c r="Z17" s="11"/>
      <c r="AA17" s="11"/>
      <c r="AB17" s="11">
        <f t="shared" si="3"/>
        <v>19</v>
      </c>
      <c r="AC17" s="11">
        <v>38</v>
      </c>
      <c r="AD17" s="11"/>
      <c r="AE17" s="11"/>
      <c r="AF17" s="22">
        <f t="shared" si="1"/>
        <v>0.5</v>
      </c>
      <c r="AG17" s="22"/>
      <c r="AH17" s="11"/>
      <c r="AI17" s="21">
        <f t="shared" si="4"/>
        <v>0.5</v>
      </c>
    </row>
    <row r="18" spans="1:35" s="7" customFormat="1" ht="14.85" customHeight="1" x14ac:dyDescent="0.25">
      <c r="A18" s="11">
        <v>1</v>
      </c>
      <c r="B18" s="12" t="s">
        <v>8</v>
      </c>
      <c r="C18" s="11">
        <v>20</v>
      </c>
      <c r="D18" s="11" t="s">
        <v>158</v>
      </c>
      <c r="E18" s="7" t="s">
        <v>134</v>
      </c>
      <c r="F18" s="7" t="s">
        <v>135</v>
      </c>
      <c r="G18" s="7" t="s">
        <v>24</v>
      </c>
      <c r="H18" s="11">
        <v>56</v>
      </c>
      <c r="I18" s="11">
        <v>25</v>
      </c>
      <c r="J18" s="11">
        <v>10</v>
      </c>
      <c r="K18" s="11">
        <v>18</v>
      </c>
      <c r="L18" s="11" t="s">
        <v>137</v>
      </c>
      <c r="M18" s="7" t="s">
        <v>138</v>
      </c>
      <c r="N18" s="9">
        <v>0.5</v>
      </c>
      <c r="O18" s="11">
        <v>2</v>
      </c>
      <c r="P18" s="11">
        <v>78.5</v>
      </c>
      <c r="Q18" s="11">
        <v>1</v>
      </c>
      <c r="R18" s="11">
        <v>1</v>
      </c>
      <c r="T18" s="21">
        <f t="shared" si="2"/>
        <v>1</v>
      </c>
      <c r="U18" s="11">
        <v>14</v>
      </c>
      <c r="V18" s="11">
        <v>14</v>
      </c>
      <c r="X18" s="11">
        <f t="shared" si="5"/>
        <v>28</v>
      </c>
      <c r="Y18" s="11">
        <v>50</v>
      </c>
      <c r="Z18" s="11">
        <v>50</v>
      </c>
      <c r="AA18" s="11"/>
      <c r="AB18" s="11">
        <f t="shared" si="3"/>
        <v>100</v>
      </c>
      <c r="AC18" s="11">
        <v>50</v>
      </c>
      <c r="AD18" s="11">
        <v>50</v>
      </c>
      <c r="AF18" s="22">
        <f t="shared" si="1"/>
        <v>1</v>
      </c>
      <c r="AG18" s="22">
        <f>Z18/AD18</f>
        <v>1</v>
      </c>
      <c r="AI18" s="21">
        <f t="shared" si="4"/>
        <v>1</v>
      </c>
    </row>
    <row r="19" spans="1:35" s="7" customFormat="1" ht="14.85" customHeight="1" x14ac:dyDescent="0.25">
      <c r="A19" s="11">
        <v>1</v>
      </c>
      <c r="B19" s="12" t="s">
        <v>8</v>
      </c>
      <c r="C19" s="11">
        <v>20</v>
      </c>
      <c r="D19" s="11" t="s">
        <v>155</v>
      </c>
      <c r="E19" s="7" t="s">
        <v>134</v>
      </c>
      <c r="F19" s="7" t="s">
        <v>141</v>
      </c>
      <c r="G19" s="7" t="s">
        <v>24</v>
      </c>
      <c r="H19" s="11">
        <v>84</v>
      </c>
      <c r="I19" s="11">
        <v>54</v>
      </c>
      <c r="J19" s="11">
        <v>12</v>
      </c>
      <c r="K19" s="11">
        <v>76.5</v>
      </c>
      <c r="L19" s="11"/>
      <c r="M19" s="7" t="s">
        <v>159</v>
      </c>
      <c r="N19" s="9">
        <v>0.8</v>
      </c>
      <c r="O19" s="11">
        <v>1</v>
      </c>
      <c r="P19" s="7">
        <v>42</v>
      </c>
      <c r="Q19" s="11">
        <v>1</v>
      </c>
      <c r="R19" s="11"/>
      <c r="S19" s="11"/>
      <c r="T19" s="21">
        <f t="shared" si="2"/>
        <v>1</v>
      </c>
      <c r="X19" s="11"/>
      <c r="AB19" s="11"/>
      <c r="AF19" s="22"/>
      <c r="AG19" s="22"/>
      <c r="AI19" s="21"/>
    </row>
    <row r="20" spans="1:35" s="7" customFormat="1" ht="14.85" customHeight="1" x14ac:dyDescent="0.25">
      <c r="A20" s="11">
        <v>1</v>
      </c>
      <c r="B20" s="12" t="s">
        <v>8</v>
      </c>
      <c r="C20" s="11">
        <v>20</v>
      </c>
      <c r="D20" s="11" t="s">
        <v>160</v>
      </c>
      <c r="E20" s="7" t="s">
        <v>134</v>
      </c>
      <c r="F20" s="7" t="s">
        <v>141</v>
      </c>
      <c r="G20" s="7" t="s">
        <v>24</v>
      </c>
      <c r="H20" s="11">
        <v>43</v>
      </c>
      <c r="I20" s="11">
        <v>39</v>
      </c>
      <c r="J20" s="11">
        <v>14</v>
      </c>
      <c r="K20" s="11">
        <v>24</v>
      </c>
      <c r="L20" s="11"/>
      <c r="M20" s="7" t="s">
        <v>159</v>
      </c>
      <c r="N20" s="9">
        <v>0.5</v>
      </c>
      <c r="O20" s="11">
        <v>2</v>
      </c>
      <c r="P20" s="11">
        <v>41.5</v>
      </c>
      <c r="Q20" s="11">
        <v>2</v>
      </c>
      <c r="R20" s="11">
        <v>3</v>
      </c>
      <c r="T20" s="21">
        <f t="shared" si="2"/>
        <v>2.5</v>
      </c>
      <c r="U20" s="11">
        <v>9</v>
      </c>
      <c r="V20" s="11">
        <v>11</v>
      </c>
      <c r="X20" s="11">
        <f t="shared" si="5"/>
        <v>20</v>
      </c>
      <c r="Y20" s="11">
        <v>26</v>
      </c>
      <c r="Z20" s="11">
        <v>41</v>
      </c>
      <c r="AA20" s="11"/>
      <c r="AB20" s="11">
        <f t="shared" si="3"/>
        <v>67</v>
      </c>
      <c r="AC20" s="11">
        <v>26</v>
      </c>
      <c r="AD20" s="11">
        <v>41</v>
      </c>
      <c r="AF20" s="22">
        <f t="shared" ref="AF20:AF21" si="6">Y20/AC20</f>
        <v>1</v>
      </c>
      <c r="AG20" s="22">
        <f>Z20/AD20</f>
        <v>1</v>
      </c>
      <c r="AI20" s="21">
        <f t="shared" si="4"/>
        <v>1</v>
      </c>
    </row>
    <row r="21" spans="1:35" s="7" customFormat="1" ht="14.85" customHeight="1" x14ac:dyDescent="0.25">
      <c r="A21" s="11">
        <v>1</v>
      </c>
      <c r="B21" s="12" t="s">
        <v>8</v>
      </c>
      <c r="C21" s="11">
        <v>20</v>
      </c>
      <c r="D21" s="7" t="s">
        <v>161</v>
      </c>
      <c r="E21" s="7" t="s">
        <v>134</v>
      </c>
      <c r="F21" s="7" t="s">
        <v>141</v>
      </c>
      <c r="G21" s="7" t="s">
        <v>71</v>
      </c>
      <c r="H21" s="11">
        <v>37</v>
      </c>
      <c r="I21" s="11">
        <v>34</v>
      </c>
      <c r="J21" s="11">
        <v>17</v>
      </c>
      <c r="K21" s="11">
        <v>20</v>
      </c>
      <c r="L21" s="11" t="s">
        <v>137</v>
      </c>
      <c r="M21" s="7" t="s">
        <v>138</v>
      </c>
      <c r="N21" s="9">
        <v>0.1</v>
      </c>
      <c r="O21" s="11">
        <v>2</v>
      </c>
      <c r="P21" s="11">
        <v>86.5</v>
      </c>
      <c r="Q21" s="11">
        <v>1</v>
      </c>
      <c r="R21" s="11">
        <v>2</v>
      </c>
      <c r="T21" s="21">
        <f t="shared" si="2"/>
        <v>1.5</v>
      </c>
      <c r="U21" s="11">
        <v>8</v>
      </c>
      <c r="V21" s="11">
        <v>15</v>
      </c>
      <c r="X21" s="11">
        <f t="shared" si="5"/>
        <v>23</v>
      </c>
      <c r="Y21" s="11">
        <v>31</v>
      </c>
      <c r="Z21" s="11">
        <v>29</v>
      </c>
      <c r="AA21" s="11"/>
      <c r="AB21" s="11">
        <f t="shared" si="3"/>
        <v>60</v>
      </c>
      <c r="AC21" s="11">
        <v>31</v>
      </c>
      <c r="AD21" s="11">
        <v>29</v>
      </c>
      <c r="AF21" s="22">
        <f t="shared" si="6"/>
        <v>1</v>
      </c>
      <c r="AG21" s="22">
        <f>Z21/AD21</f>
        <v>1</v>
      </c>
      <c r="AI21" s="21">
        <f t="shared" si="4"/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7B75-AC7D-4AE2-BE18-CFFC98E3622E}">
  <dimension ref="A1:L13"/>
  <sheetViews>
    <sheetView workbookViewId="0">
      <selection activeCell="J37" sqref="J37"/>
    </sheetView>
  </sheetViews>
  <sheetFormatPr defaultRowHeight="14.25" x14ac:dyDescent="0.2"/>
  <sheetData>
    <row r="1" spans="1:12" s="15" customFormat="1" ht="30.95" customHeight="1" x14ac:dyDescent="0.2">
      <c r="A1" s="13" t="s">
        <v>36</v>
      </c>
      <c r="B1" s="13" t="s">
        <v>1</v>
      </c>
      <c r="C1" s="14" t="s">
        <v>2</v>
      </c>
      <c r="D1" s="2" t="s">
        <v>37</v>
      </c>
      <c r="E1" s="2" t="s">
        <v>4</v>
      </c>
      <c r="F1" s="2" t="s">
        <v>6</v>
      </c>
      <c r="G1" s="18" t="s">
        <v>111</v>
      </c>
      <c r="H1" s="2" t="s">
        <v>112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s="4" customFormat="1" ht="13.5" x14ac:dyDescent="0.25">
      <c r="A2" s="4">
        <v>1</v>
      </c>
      <c r="B2" s="5" t="s">
        <v>8</v>
      </c>
      <c r="C2" s="6">
        <v>18</v>
      </c>
      <c r="D2" s="6">
        <v>109</v>
      </c>
      <c r="E2" s="6" t="s">
        <v>162</v>
      </c>
      <c r="F2" s="4" t="s">
        <v>24</v>
      </c>
      <c r="G2" s="4" t="s">
        <v>163</v>
      </c>
      <c r="H2" s="8">
        <v>0.9</v>
      </c>
      <c r="I2" s="6">
        <v>72.19</v>
      </c>
      <c r="J2" s="6">
        <v>58.93</v>
      </c>
      <c r="K2" s="6">
        <v>36.71</v>
      </c>
      <c r="L2" s="6">
        <v>227.9</v>
      </c>
    </row>
    <row r="3" spans="1:12" s="4" customFormat="1" ht="13.5" x14ac:dyDescent="0.25">
      <c r="A3" s="4">
        <v>1</v>
      </c>
      <c r="B3" s="5" t="s">
        <v>8</v>
      </c>
      <c r="C3" s="6">
        <v>18</v>
      </c>
      <c r="D3" s="4" t="s">
        <v>164</v>
      </c>
      <c r="E3" s="4" t="s">
        <v>162</v>
      </c>
      <c r="F3" s="4" t="s">
        <v>24</v>
      </c>
      <c r="G3" s="4" t="s">
        <v>163</v>
      </c>
      <c r="H3" s="8">
        <v>1</v>
      </c>
      <c r="I3" s="6">
        <v>76.36</v>
      </c>
      <c r="J3" s="6">
        <v>47.65</v>
      </c>
      <c r="K3" s="6">
        <v>43.9</v>
      </c>
      <c r="L3" s="6">
        <v>256.39999999999998</v>
      </c>
    </row>
    <row r="4" spans="1:12" s="4" customFormat="1" ht="13.5" x14ac:dyDescent="0.25">
      <c r="A4" s="4">
        <v>1</v>
      </c>
      <c r="B4" s="5" t="s">
        <v>8</v>
      </c>
      <c r="C4" s="6">
        <v>18</v>
      </c>
      <c r="D4" s="4" t="s">
        <v>165</v>
      </c>
      <c r="E4" s="15" t="s">
        <v>162</v>
      </c>
      <c r="F4" s="4" t="s">
        <v>24</v>
      </c>
      <c r="G4" s="4" t="s">
        <v>163</v>
      </c>
      <c r="H4" s="8">
        <v>0.9</v>
      </c>
      <c r="I4" s="6">
        <v>76.88</v>
      </c>
      <c r="J4" s="6">
        <v>33.340000000000003</v>
      </c>
      <c r="K4" s="6">
        <v>26.41</v>
      </c>
      <c r="L4" s="6">
        <v>92.1</v>
      </c>
    </row>
    <row r="5" spans="1:12" s="6" customFormat="1" ht="13.5" x14ac:dyDescent="0.25">
      <c r="A5" s="4">
        <v>1</v>
      </c>
      <c r="B5" s="5" t="s">
        <v>8</v>
      </c>
      <c r="C5" s="6">
        <v>18</v>
      </c>
      <c r="D5" s="6" t="s">
        <v>166</v>
      </c>
      <c r="E5" s="15" t="s">
        <v>162</v>
      </c>
      <c r="F5" s="6" t="s">
        <v>24</v>
      </c>
      <c r="G5" s="4" t="s">
        <v>163</v>
      </c>
      <c r="H5" s="8">
        <v>1</v>
      </c>
      <c r="I5" s="6">
        <v>83.9</v>
      </c>
      <c r="J5" s="6">
        <v>75.84</v>
      </c>
      <c r="K5" s="6">
        <v>59.75</v>
      </c>
      <c r="L5" s="6">
        <v>473.3</v>
      </c>
    </row>
    <row r="6" spans="1:12" s="6" customFormat="1" ht="13.5" x14ac:dyDescent="0.25">
      <c r="A6" s="4">
        <v>1</v>
      </c>
      <c r="B6" s="5" t="s">
        <v>8</v>
      </c>
      <c r="C6" s="6">
        <v>18</v>
      </c>
      <c r="D6" s="6" t="s">
        <v>167</v>
      </c>
      <c r="E6" s="15" t="s">
        <v>162</v>
      </c>
      <c r="F6" s="4" t="s">
        <v>24</v>
      </c>
      <c r="G6" s="4" t="s">
        <v>163</v>
      </c>
      <c r="H6" s="8">
        <v>1</v>
      </c>
      <c r="I6" s="6">
        <v>91.54</v>
      </c>
      <c r="J6" s="6">
        <v>69.75</v>
      </c>
      <c r="K6" s="6">
        <v>43.41</v>
      </c>
      <c r="L6" s="6">
        <v>408.5</v>
      </c>
    </row>
    <row r="7" spans="1:12" s="4" customFormat="1" ht="13.5" x14ac:dyDescent="0.25">
      <c r="A7" s="6">
        <v>2</v>
      </c>
      <c r="B7" s="5" t="s">
        <v>8</v>
      </c>
      <c r="C7" s="6">
        <v>17</v>
      </c>
      <c r="D7" s="6">
        <v>133</v>
      </c>
      <c r="E7" s="15" t="s">
        <v>162</v>
      </c>
      <c r="F7" s="4" t="s">
        <v>28</v>
      </c>
      <c r="G7" s="4" t="s">
        <v>163</v>
      </c>
      <c r="H7" s="8">
        <v>1</v>
      </c>
      <c r="I7" s="6">
        <v>62.48</v>
      </c>
      <c r="J7" s="6">
        <v>56.11</v>
      </c>
      <c r="K7" s="6">
        <v>74.63</v>
      </c>
      <c r="L7" s="6">
        <v>40.11</v>
      </c>
    </row>
    <row r="8" spans="1:12" s="4" customFormat="1" ht="13.5" x14ac:dyDescent="0.25">
      <c r="A8" s="6">
        <v>2</v>
      </c>
      <c r="B8" s="5" t="s">
        <v>8</v>
      </c>
      <c r="C8" s="6">
        <v>17</v>
      </c>
      <c r="D8" s="4" t="s">
        <v>168</v>
      </c>
      <c r="E8" s="15" t="s">
        <v>162</v>
      </c>
      <c r="F8" s="4" t="s">
        <v>24</v>
      </c>
      <c r="G8" s="4" t="s">
        <v>163</v>
      </c>
      <c r="H8" s="8">
        <v>0.9</v>
      </c>
      <c r="I8" s="6">
        <v>112.34</v>
      </c>
      <c r="J8" s="6">
        <v>71.150000000000006</v>
      </c>
      <c r="K8" s="6">
        <v>36.69</v>
      </c>
      <c r="L8" s="6">
        <v>472.4</v>
      </c>
    </row>
    <row r="9" spans="1:12" s="15" customFormat="1" ht="13.5" x14ac:dyDescent="0.25">
      <c r="A9" s="6">
        <v>2</v>
      </c>
      <c r="B9" s="25" t="s">
        <v>169</v>
      </c>
      <c r="C9" s="15">
        <v>10</v>
      </c>
      <c r="D9" s="15" t="s">
        <v>170</v>
      </c>
      <c r="E9" s="15" t="s">
        <v>162</v>
      </c>
      <c r="F9" s="15" t="s">
        <v>24</v>
      </c>
      <c r="G9" s="4" t="s">
        <v>163</v>
      </c>
      <c r="H9" s="26">
        <v>1</v>
      </c>
      <c r="I9" s="15">
        <v>76.239999999999995</v>
      </c>
      <c r="J9" s="27">
        <v>63.3</v>
      </c>
      <c r="K9" s="15">
        <v>40.28</v>
      </c>
      <c r="L9" s="15">
        <v>250.24</v>
      </c>
    </row>
    <row r="10" spans="1:12" s="15" customFormat="1" ht="13.5" x14ac:dyDescent="0.25">
      <c r="A10" s="6">
        <v>2</v>
      </c>
      <c r="B10" s="25" t="s">
        <v>169</v>
      </c>
      <c r="C10" s="15">
        <v>10</v>
      </c>
      <c r="D10" s="15" t="s">
        <v>171</v>
      </c>
      <c r="E10" s="15" t="s">
        <v>162</v>
      </c>
      <c r="F10" s="15" t="s">
        <v>24</v>
      </c>
      <c r="G10" s="4" t="s">
        <v>163</v>
      </c>
      <c r="H10" s="26">
        <v>1</v>
      </c>
      <c r="I10" s="15">
        <v>40.78</v>
      </c>
      <c r="J10" s="15">
        <v>37.03</v>
      </c>
      <c r="K10" s="27">
        <v>36.799999999999997</v>
      </c>
      <c r="L10" s="15">
        <v>62.19</v>
      </c>
    </row>
    <row r="11" spans="1:12" s="15" customFormat="1" ht="13.5" x14ac:dyDescent="0.25">
      <c r="A11" s="6">
        <v>2</v>
      </c>
      <c r="B11" s="25" t="s">
        <v>169</v>
      </c>
      <c r="C11" s="15">
        <v>10</v>
      </c>
      <c r="D11" s="15" t="s">
        <v>172</v>
      </c>
      <c r="E11" s="15" t="s">
        <v>162</v>
      </c>
      <c r="F11" s="15" t="s">
        <v>24</v>
      </c>
      <c r="G11" s="4" t="s">
        <v>163</v>
      </c>
      <c r="H11" s="26">
        <v>1</v>
      </c>
      <c r="I11" s="15">
        <v>60.66</v>
      </c>
      <c r="J11" s="15">
        <v>59.33</v>
      </c>
      <c r="K11" s="15">
        <v>41.58</v>
      </c>
      <c r="L11" s="15">
        <v>185.31</v>
      </c>
    </row>
    <row r="12" spans="1:12" s="15" customFormat="1" ht="13.5" x14ac:dyDescent="0.25">
      <c r="A12" s="4">
        <v>3</v>
      </c>
      <c r="B12" s="25" t="s">
        <v>169</v>
      </c>
      <c r="C12" s="15">
        <v>6</v>
      </c>
      <c r="D12" s="15" t="s">
        <v>173</v>
      </c>
      <c r="E12" s="15" t="s">
        <v>162</v>
      </c>
      <c r="F12" s="15" t="s">
        <v>24</v>
      </c>
      <c r="G12" s="4" t="s">
        <v>163</v>
      </c>
      <c r="H12" s="26">
        <v>0.9</v>
      </c>
      <c r="I12" s="15">
        <v>54.23</v>
      </c>
      <c r="J12" s="15">
        <v>31.05</v>
      </c>
      <c r="K12" s="15">
        <v>20.260000000000002</v>
      </c>
      <c r="L12" s="15">
        <v>47.39</v>
      </c>
    </row>
    <row r="13" spans="1:12" s="15" customFormat="1" ht="13.5" x14ac:dyDescent="0.25">
      <c r="A13" s="4">
        <v>3</v>
      </c>
      <c r="B13" s="25" t="s">
        <v>169</v>
      </c>
      <c r="C13" s="15">
        <v>6</v>
      </c>
      <c r="D13" s="15" t="s">
        <v>174</v>
      </c>
      <c r="E13" s="15" t="s">
        <v>162</v>
      </c>
      <c r="F13" s="15" t="s">
        <v>24</v>
      </c>
      <c r="G13" s="4" t="s">
        <v>163</v>
      </c>
      <c r="H13" s="26">
        <v>1</v>
      </c>
      <c r="I13" s="15">
        <v>107.77</v>
      </c>
      <c r="J13" s="15">
        <v>38.64</v>
      </c>
      <c r="K13" s="15">
        <v>36.72</v>
      </c>
      <c r="L13" s="15">
        <v>195.08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77AF-4B74-4C21-8095-495F1EB1090F}">
  <dimension ref="A1:L21"/>
  <sheetViews>
    <sheetView workbookViewId="0">
      <selection activeCell="N36" sqref="N36"/>
    </sheetView>
  </sheetViews>
  <sheetFormatPr defaultRowHeight="14.25" x14ac:dyDescent="0.2"/>
  <sheetData>
    <row r="1" spans="1:12" s="3" customFormat="1" ht="32.1" customHeight="1" x14ac:dyDescent="0.25">
      <c r="A1" s="13" t="s">
        <v>36</v>
      </c>
      <c r="B1" s="13" t="s">
        <v>1</v>
      </c>
      <c r="C1" s="14" t="s">
        <v>2</v>
      </c>
      <c r="D1" s="2" t="s">
        <v>37</v>
      </c>
      <c r="E1" s="2" t="s">
        <v>4</v>
      </c>
      <c r="F1" s="2" t="s">
        <v>6</v>
      </c>
      <c r="G1" s="2" t="s">
        <v>112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2" s="11" customFormat="1" ht="13.5" x14ac:dyDescent="0.25">
      <c r="A2" s="11">
        <v>1</v>
      </c>
      <c r="B2" s="3" t="s">
        <v>20</v>
      </c>
      <c r="C2" s="11">
        <v>5</v>
      </c>
      <c r="D2" s="11" t="s">
        <v>175</v>
      </c>
      <c r="E2" s="11" t="s">
        <v>140</v>
      </c>
      <c r="F2" s="11" t="s">
        <v>136</v>
      </c>
      <c r="G2" s="9">
        <v>0</v>
      </c>
      <c r="H2" s="11">
        <v>38</v>
      </c>
      <c r="I2" s="11">
        <v>28</v>
      </c>
      <c r="J2" s="11">
        <v>9</v>
      </c>
      <c r="K2" s="7">
        <v>9</v>
      </c>
      <c r="L2" s="28"/>
    </row>
    <row r="3" spans="1:12" s="11" customFormat="1" ht="13.5" x14ac:dyDescent="0.25">
      <c r="A3" s="11">
        <v>1</v>
      </c>
      <c r="B3" s="3" t="s">
        <v>20</v>
      </c>
      <c r="C3" s="11">
        <v>6</v>
      </c>
      <c r="D3" s="11" t="s">
        <v>176</v>
      </c>
      <c r="E3" s="11" t="s">
        <v>140</v>
      </c>
      <c r="F3" s="11" t="s">
        <v>24</v>
      </c>
      <c r="G3" s="9">
        <v>0.4</v>
      </c>
      <c r="H3" s="11">
        <v>45</v>
      </c>
      <c r="I3" s="11">
        <v>32</v>
      </c>
      <c r="J3" s="11">
        <v>22</v>
      </c>
      <c r="K3" s="11">
        <v>26</v>
      </c>
      <c r="L3" s="28"/>
    </row>
    <row r="4" spans="1:12" s="11" customFormat="1" ht="13.5" x14ac:dyDescent="0.25">
      <c r="A4" s="11">
        <v>1</v>
      </c>
      <c r="B4" s="3" t="s">
        <v>20</v>
      </c>
      <c r="C4" s="11">
        <v>6</v>
      </c>
      <c r="D4" s="11" t="s">
        <v>94</v>
      </c>
      <c r="E4" s="11" t="s">
        <v>140</v>
      </c>
      <c r="F4" s="11" t="s">
        <v>24</v>
      </c>
      <c r="G4" s="9">
        <v>0.4</v>
      </c>
      <c r="H4" s="11">
        <v>69</v>
      </c>
      <c r="I4" s="11">
        <v>46</v>
      </c>
      <c r="J4" s="11">
        <v>27</v>
      </c>
      <c r="K4" s="11">
        <v>84</v>
      </c>
      <c r="L4" s="28"/>
    </row>
    <row r="5" spans="1:12" s="11" customFormat="1" ht="13.5" x14ac:dyDescent="0.25">
      <c r="A5" s="11">
        <v>1</v>
      </c>
      <c r="B5" s="3" t="s">
        <v>20</v>
      </c>
      <c r="C5" s="11">
        <v>7</v>
      </c>
      <c r="D5" s="11" t="s">
        <v>177</v>
      </c>
      <c r="E5" s="11" t="s">
        <v>140</v>
      </c>
      <c r="F5" s="11" t="s">
        <v>136</v>
      </c>
      <c r="G5" s="9">
        <v>0</v>
      </c>
      <c r="H5" s="11">
        <v>60</v>
      </c>
      <c r="I5" s="11">
        <v>57</v>
      </c>
      <c r="J5" s="11">
        <v>35</v>
      </c>
      <c r="K5" s="11">
        <v>119</v>
      </c>
      <c r="L5" s="28"/>
    </row>
    <row r="6" spans="1:12" s="11" customFormat="1" ht="13.5" x14ac:dyDescent="0.25">
      <c r="A6" s="11">
        <v>1</v>
      </c>
      <c r="B6" s="3" t="s">
        <v>20</v>
      </c>
      <c r="C6" s="11">
        <v>7</v>
      </c>
      <c r="D6" s="11" t="s">
        <v>89</v>
      </c>
      <c r="E6" s="11" t="s">
        <v>140</v>
      </c>
      <c r="F6" s="11" t="s">
        <v>136</v>
      </c>
      <c r="G6" s="9">
        <v>0</v>
      </c>
      <c r="H6" s="11">
        <v>63</v>
      </c>
      <c r="I6" s="11">
        <v>55</v>
      </c>
      <c r="J6" s="11">
        <v>28</v>
      </c>
      <c r="K6" s="11">
        <v>86.5</v>
      </c>
      <c r="L6" s="28"/>
    </row>
    <row r="7" spans="1:12" s="11" customFormat="1" ht="13.5" x14ac:dyDescent="0.25">
      <c r="A7" s="11">
        <v>1</v>
      </c>
      <c r="B7" s="3" t="s">
        <v>20</v>
      </c>
      <c r="C7" s="11">
        <v>7</v>
      </c>
      <c r="D7" s="11" t="s">
        <v>133</v>
      </c>
      <c r="E7" s="11" t="s">
        <v>140</v>
      </c>
      <c r="F7" s="11" t="s">
        <v>136</v>
      </c>
      <c r="G7" s="9">
        <v>0</v>
      </c>
      <c r="H7" s="11">
        <v>34</v>
      </c>
      <c r="I7" s="11">
        <v>17</v>
      </c>
      <c r="J7" s="11">
        <v>7</v>
      </c>
      <c r="K7" s="11">
        <v>3.5</v>
      </c>
      <c r="L7" s="28"/>
    </row>
    <row r="8" spans="1:12" s="11" customFormat="1" ht="13.5" x14ac:dyDescent="0.25">
      <c r="A8" s="11">
        <v>1</v>
      </c>
      <c r="B8" s="3" t="s">
        <v>20</v>
      </c>
      <c r="C8" s="11">
        <v>8</v>
      </c>
      <c r="D8" s="11" t="s">
        <v>30</v>
      </c>
      <c r="E8" s="11" t="s">
        <v>140</v>
      </c>
      <c r="F8" s="11" t="s">
        <v>24</v>
      </c>
      <c r="G8" s="9">
        <v>0.3</v>
      </c>
      <c r="H8" s="11">
        <v>33</v>
      </c>
      <c r="I8" s="11">
        <v>21</v>
      </c>
      <c r="J8" s="11">
        <v>18</v>
      </c>
      <c r="K8" s="11">
        <v>12</v>
      </c>
      <c r="L8" s="28"/>
    </row>
    <row r="9" spans="1:12" s="11" customFormat="1" ht="13.5" x14ac:dyDescent="0.25">
      <c r="A9" s="11">
        <v>1</v>
      </c>
      <c r="B9" s="3" t="s">
        <v>20</v>
      </c>
      <c r="C9" s="11">
        <v>7</v>
      </c>
      <c r="D9" s="11" t="s">
        <v>178</v>
      </c>
      <c r="E9" s="11" t="s">
        <v>140</v>
      </c>
      <c r="F9" s="11" t="s">
        <v>24</v>
      </c>
      <c r="G9" s="9">
        <v>0</v>
      </c>
      <c r="H9" s="11">
        <v>22</v>
      </c>
      <c r="I9" s="11">
        <v>17</v>
      </c>
      <c r="J9" s="11">
        <v>6</v>
      </c>
      <c r="K9" s="11">
        <v>2</v>
      </c>
      <c r="L9" s="28"/>
    </row>
    <row r="10" spans="1:12" s="11" customFormat="1" ht="13.5" x14ac:dyDescent="0.25">
      <c r="A10" s="11">
        <v>1</v>
      </c>
      <c r="B10" s="3" t="s">
        <v>20</v>
      </c>
      <c r="C10" s="11">
        <v>7</v>
      </c>
      <c r="D10" s="11" t="s">
        <v>178</v>
      </c>
      <c r="E10" s="11" t="s">
        <v>179</v>
      </c>
      <c r="F10" s="11" t="s">
        <v>24</v>
      </c>
      <c r="G10" s="9">
        <v>0</v>
      </c>
      <c r="H10" s="11">
        <v>14</v>
      </c>
      <c r="I10" s="11">
        <v>10</v>
      </c>
      <c r="J10" s="11">
        <v>4</v>
      </c>
      <c r="K10" s="11">
        <v>0.2</v>
      </c>
      <c r="L10" s="28"/>
    </row>
    <row r="11" spans="1:12" s="11" customFormat="1" ht="13.5" x14ac:dyDescent="0.25">
      <c r="A11" s="11">
        <v>1</v>
      </c>
      <c r="B11" s="3" t="s">
        <v>20</v>
      </c>
      <c r="C11" s="11">
        <v>7</v>
      </c>
      <c r="D11" s="11" t="s">
        <v>178</v>
      </c>
      <c r="E11" s="11" t="s">
        <v>179</v>
      </c>
      <c r="F11" s="11" t="s">
        <v>24</v>
      </c>
      <c r="G11" s="9">
        <v>0</v>
      </c>
      <c r="H11" s="11">
        <v>17</v>
      </c>
      <c r="I11" s="11">
        <v>6</v>
      </c>
      <c r="J11" s="11">
        <v>5</v>
      </c>
      <c r="K11" s="11">
        <v>0.8</v>
      </c>
      <c r="L11" s="28"/>
    </row>
    <row r="12" spans="1:12" s="11" customFormat="1" ht="13.5" x14ac:dyDescent="0.25">
      <c r="A12" s="11">
        <v>1</v>
      </c>
      <c r="B12" s="3" t="s">
        <v>20</v>
      </c>
      <c r="C12" s="11">
        <v>5</v>
      </c>
      <c r="D12" s="11" t="s">
        <v>180</v>
      </c>
      <c r="E12" s="11" t="s">
        <v>140</v>
      </c>
      <c r="F12" s="11" t="s">
        <v>24</v>
      </c>
      <c r="G12" s="9">
        <v>0.2</v>
      </c>
      <c r="H12" s="11">
        <v>26</v>
      </c>
      <c r="I12" s="11">
        <v>24</v>
      </c>
      <c r="J12" s="11">
        <v>5</v>
      </c>
      <c r="K12" s="11">
        <v>4</v>
      </c>
      <c r="L12" s="28"/>
    </row>
    <row r="13" spans="1:12" s="11" customFormat="1" ht="13.5" x14ac:dyDescent="0.25">
      <c r="A13" s="11">
        <v>1</v>
      </c>
      <c r="B13" s="3" t="s">
        <v>20</v>
      </c>
      <c r="C13" s="11">
        <v>5</v>
      </c>
      <c r="D13" s="11" t="s">
        <v>180</v>
      </c>
      <c r="E13" s="11" t="s">
        <v>179</v>
      </c>
      <c r="F13" s="11" t="s">
        <v>71</v>
      </c>
      <c r="G13" s="9">
        <v>0</v>
      </c>
      <c r="H13" s="11">
        <v>19</v>
      </c>
      <c r="I13" s="11">
        <v>14</v>
      </c>
      <c r="J13" s="11">
        <v>12</v>
      </c>
      <c r="K13" s="11">
        <v>2</v>
      </c>
      <c r="L13" s="28"/>
    </row>
    <row r="14" spans="1:12" s="11" customFormat="1" ht="13.5" x14ac:dyDescent="0.25">
      <c r="A14" s="11">
        <v>1</v>
      </c>
      <c r="B14" s="3" t="s">
        <v>20</v>
      </c>
      <c r="C14" s="11">
        <v>5</v>
      </c>
      <c r="D14" s="11" t="s">
        <v>180</v>
      </c>
      <c r="E14" s="11" t="s">
        <v>179</v>
      </c>
      <c r="F14" s="11" t="s">
        <v>24</v>
      </c>
      <c r="G14" s="9">
        <v>0.05</v>
      </c>
      <c r="H14" s="11">
        <v>16</v>
      </c>
      <c r="I14" s="11">
        <v>13</v>
      </c>
      <c r="J14" s="11">
        <v>3</v>
      </c>
      <c r="K14" s="11">
        <v>0.7</v>
      </c>
      <c r="L14" s="28"/>
    </row>
    <row r="15" spans="1:12" s="11" customFormat="1" ht="13.5" x14ac:dyDescent="0.25">
      <c r="A15" s="11">
        <v>1</v>
      </c>
      <c r="B15" s="3" t="s">
        <v>20</v>
      </c>
      <c r="C15" s="11">
        <v>5</v>
      </c>
      <c r="D15" s="11" t="s">
        <v>180</v>
      </c>
      <c r="E15" s="11" t="s">
        <v>179</v>
      </c>
      <c r="F15" s="11" t="s">
        <v>24</v>
      </c>
      <c r="G15" s="9">
        <v>0</v>
      </c>
      <c r="H15" s="11">
        <v>12</v>
      </c>
      <c r="I15" s="11">
        <v>10</v>
      </c>
      <c r="J15" s="11">
        <v>4</v>
      </c>
      <c r="K15" s="11">
        <v>0.6</v>
      </c>
      <c r="L15" s="28"/>
    </row>
    <row r="16" spans="1:12" s="11" customFormat="1" ht="13.5" x14ac:dyDescent="0.25">
      <c r="A16" s="11">
        <v>1</v>
      </c>
      <c r="B16" s="3" t="s">
        <v>20</v>
      </c>
      <c r="C16" s="11">
        <v>5</v>
      </c>
      <c r="D16" s="11" t="s">
        <v>180</v>
      </c>
      <c r="E16" s="11" t="s">
        <v>179</v>
      </c>
      <c r="F16" s="11" t="s">
        <v>24</v>
      </c>
      <c r="G16" s="9">
        <v>0</v>
      </c>
      <c r="H16" s="11">
        <v>12</v>
      </c>
      <c r="I16" s="11">
        <v>8</v>
      </c>
      <c r="J16" s="11">
        <v>2</v>
      </c>
      <c r="K16" s="11">
        <v>0.4</v>
      </c>
      <c r="L16" s="28"/>
    </row>
    <row r="17" spans="1:12" s="11" customFormat="1" ht="13.5" x14ac:dyDescent="0.25">
      <c r="A17" s="11">
        <v>1</v>
      </c>
      <c r="B17" s="3" t="s">
        <v>20</v>
      </c>
      <c r="C17" s="11">
        <v>5</v>
      </c>
      <c r="D17" s="11" t="s">
        <v>180</v>
      </c>
      <c r="E17" s="11" t="s">
        <v>179</v>
      </c>
      <c r="F17" s="11" t="s">
        <v>24</v>
      </c>
      <c r="G17" s="9">
        <v>0</v>
      </c>
      <c r="H17" s="11">
        <v>8</v>
      </c>
      <c r="I17" s="11">
        <v>8</v>
      </c>
      <c r="J17" s="11">
        <v>4</v>
      </c>
      <c r="K17" s="11">
        <v>0.2</v>
      </c>
      <c r="L17" s="28"/>
    </row>
    <row r="18" spans="1:12" s="11" customFormat="1" ht="13.5" x14ac:dyDescent="0.25">
      <c r="A18" s="11">
        <v>1</v>
      </c>
      <c r="B18" s="3" t="s">
        <v>20</v>
      </c>
      <c r="C18" s="11">
        <v>5</v>
      </c>
      <c r="D18" s="11" t="s">
        <v>180</v>
      </c>
      <c r="E18" s="11" t="s">
        <v>179</v>
      </c>
      <c r="F18" s="11" t="s">
        <v>24</v>
      </c>
      <c r="G18" s="9">
        <v>0.3</v>
      </c>
      <c r="H18" s="11">
        <v>9</v>
      </c>
      <c r="I18" s="11">
        <v>6</v>
      </c>
      <c r="J18" s="11">
        <v>0.5</v>
      </c>
      <c r="K18" s="11">
        <v>0.1</v>
      </c>
      <c r="L18" s="28"/>
    </row>
    <row r="19" spans="1:12" s="11" customFormat="1" ht="13.5" x14ac:dyDescent="0.25">
      <c r="A19" s="11">
        <v>1</v>
      </c>
      <c r="B19" s="3" t="s">
        <v>33</v>
      </c>
      <c r="C19" s="11">
        <v>3</v>
      </c>
      <c r="D19" s="11">
        <v>1</v>
      </c>
      <c r="E19" s="11" t="s">
        <v>179</v>
      </c>
      <c r="F19" s="11" t="s">
        <v>28</v>
      </c>
      <c r="G19" s="9">
        <v>0</v>
      </c>
      <c r="H19" s="11">
        <v>12</v>
      </c>
      <c r="I19" s="11">
        <v>7</v>
      </c>
      <c r="J19" s="11">
        <v>2</v>
      </c>
      <c r="K19" s="11">
        <v>0.5</v>
      </c>
      <c r="L19" s="28"/>
    </row>
    <row r="20" spans="1:12" s="11" customFormat="1" ht="13.5" x14ac:dyDescent="0.25">
      <c r="A20" s="11">
        <v>1</v>
      </c>
      <c r="B20" s="3" t="s">
        <v>33</v>
      </c>
      <c r="C20" s="11">
        <v>3</v>
      </c>
      <c r="D20" s="11">
        <v>2</v>
      </c>
      <c r="E20" s="11" t="s">
        <v>179</v>
      </c>
      <c r="F20" s="11" t="s">
        <v>28</v>
      </c>
      <c r="G20" s="9">
        <v>0</v>
      </c>
      <c r="H20" s="11">
        <v>17</v>
      </c>
      <c r="I20" s="11">
        <v>15</v>
      </c>
      <c r="J20" s="11">
        <v>5</v>
      </c>
      <c r="K20" s="11">
        <v>1</v>
      </c>
      <c r="L20" s="28"/>
    </row>
    <row r="21" spans="1:12" s="11" customFormat="1" ht="13.5" x14ac:dyDescent="0.25">
      <c r="A21" s="11">
        <v>1</v>
      </c>
      <c r="B21" s="3" t="s">
        <v>33</v>
      </c>
      <c r="C21" s="11">
        <v>4</v>
      </c>
      <c r="D21" s="11" t="s">
        <v>181</v>
      </c>
      <c r="E21" s="11" t="s">
        <v>140</v>
      </c>
      <c r="F21" s="11" t="s">
        <v>24</v>
      </c>
      <c r="G21" s="9">
        <v>0.5</v>
      </c>
      <c r="H21" s="11">
        <v>54</v>
      </c>
      <c r="I21" s="11">
        <v>53</v>
      </c>
      <c r="J21" s="11">
        <v>35</v>
      </c>
      <c r="K21" s="11">
        <v>73.5</v>
      </c>
      <c r="L21" s="2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Cores</vt:lpstr>
      <vt:lpstr>Complete flakes</vt:lpstr>
      <vt:lpstr>Incomplete flakes</vt:lpstr>
      <vt:lpstr>Flake fragments</vt:lpstr>
      <vt:lpstr>Split flakes</vt:lpstr>
      <vt:lpstr>Tools</vt:lpstr>
      <vt:lpstr>Hamerstones</vt:lpstr>
      <vt:lpstr>Waste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2015-06-05T18:19:34Z</dcterms:created>
  <dcterms:modified xsi:type="dcterms:W3CDTF">2026-04-10T18:03:39Z</dcterms:modified>
</cp:coreProperties>
</file>